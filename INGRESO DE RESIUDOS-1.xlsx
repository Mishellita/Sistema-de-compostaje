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uiz1\Downloads\"/>
    </mc:Choice>
  </mc:AlternateContent>
  <xr:revisionPtr revIDLastSave="0" documentId="13_ncr:1_{52B6719D-E91F-4CC9-82A1-610CDC6F75D7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HOJA 1. CONFIGURACION" sheetId="11" r:id="rId1"/>
    <sheet name="HOJA 2. INSUMOS" sheetId="10" r:id="rId2"/>
    <sheet name="HOJA 3. FORMULACION" sheetId="15" r:id="rId3"/>
    <sheet name="bloque auxiliar" sheetId="16" r:id="rId4"/>
    <sheet name="Calculo progresivo por lote" sheetId="17" r:id="rId5"/>
    <sheet name="HOJA 4-SEGUIMIENTO" sheetId="8" r:id="rId6"/>
    <sheet name="HOJA 5. INVENTARIO (STOCK)" sheetId="9" r:id="rId7"/>
    <sheet name="HOJA 6. INDICADORES" sheetId="12" r:id="rId8"/>
    <sheet name="BASE_CONOCIMIENTOS 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5" l="1"/>
  <c r="C8" i="17" s="1"/>
  <c r="J8" i="15"/>
  <c r="P8" i="15"/>
  <c r="A7" i="17"/>
  <c r="A8" i="17"/>
  <c r="B7" i="17"/>
  <c r="F7" i="17" s="1"/>
  <c r="B8" i="17"/>
  <c r="I7" i="15"/>
  <c r="C7" i="17" s="1"/>
  <c r="P7" i="15"/>
  <c r="A6" i="17"/>
  <c r="B6" i="17"/>
  <c r="F6" i="17" s="1"/>
  <c r="A4" i="17"/>
  <c r="A5" i="17"/>
  <c r="B4" i="17"/>
  <c r="G4" i="17" s="1"/>
  <c r="B5" i="17"/>
  <c r="G5" i="17" s="1"/>
  <c r="L5" i="17" s="1"/>
  <c r="B3" i="17"/>
  <c r="D3" i="17" s="1"/>
  <c r="A3" i="17"/>
  <c r="I3" i="15"/>
  <c r="I4" i="15"/>
  <c r="C4" i="17" s="1"/>
  <c r="I5" i="15"/>
  <c r="I6" i="15"/>
  <c r="C6" i="17" s="1"/>
  <c r="P3" i="15"/>
  <c r="P4" i="15"/>
  <c r="P5" i="15"/>
  <c r="P6" i="15"/>
  <c r="B2" i="16"/>
  <c r="E2" i="12"/>
  <c r="D2" i="12"/>
  <c r="C2" i="12"/>
  <c r="G3" i="9"/>
  <c r="G4" i="9"/>
  <c r="G5" i="9" s="1"/>
  <c r="G6" i="9"/>
  <c r="H6" i="9" s="1"/>
  <c r="G7" i="9"/>
  <c r="H7" i="9" s="1"/>
  <c r="G8" i="9"/>
  <c r="H8" i="9" s="1"/>
  <c r="G9" i="9"/>
  <c r="G10" i="9"/>
  <c r="H10" i="9" s="1"/>
  <c r="G11" i="9"/>
  <c r="H11" i="9" s="1"/>
  <c r="G12" i="9"/>
  <c r="H9" i="9"/>
  <c r="H12" i="9"/>
  <c r="G2" i="9"/>
  <c r="H2" i="13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R2" i="8"/>
  <c r="B5" i="16"/>
  <c r="D5" i="16" s="1"/>
  <c r="H5" i="16" s="1"/>
  <c r="B4" i="16"/>
  <c r="B3" i="16"/>
  <c r="D3" i="16" s="1"/>
  <c r="G3" i="16"/>
  <c r="G4" i="16"/>
  <c r="G5" i="16"/>
  <c r="G2" i="16"/>
  <c r="E2" i="16"/>
  <c r="E3" i="16"/>
  <c r="E4" i="16"/>
  <c r="E5" i="16"/>
  <c r="C2" i="16"/>
  <c r="C3" i="16"/>
  <c r="C4" i="16"/>
  <c r="C5" i="16"/>
  <c r="M2" i="8"/>
  <c r="Q2" i="8" s="1"/>
  <c r="I2" i="8"/>
  <c r="P2" i="8" s="1"/>
  <c r="T2" i="8" s="1"/>
  <c r="D6" i="17" l="1"/>
  <c r="E6" i="17" s="1"/>
  <c r="F4" i="17"/>
  <c r="I3" i="17"/>
  <c r="J7" i="15"/>
  <c r="J6" i="15"/>
  <c r="D7" i="17"/>
  <c r="E7" i="17" s="1"/>
  <c r="F3" i="17"/>
  <c r="K3" i="17" s="1"/>
  <c r="G8" i="17"/>
  <c r="L8" i="17" s="1"/>
  <c r="P8" i="17" s="1"/>
  <c r="H8" i="17"/>
  <c r="M8" i="17" s="1"/>
  <c r="L8" i="15" s="1"/>
  <c r="D5" i="17"/>
  <c r="I6" i="17" s="1"/>
  <c r="G7" i="17"/>
  <c r="I5" i="17"/>
  <c r="D8" i="17"/>
  <c r="E8" i="17" s="1"/>
  <c r="J8" i="17" s="1"/>
  <c r="D4" i="17"/>
  <c r="E4" i="17" s="1"/>
  <c r="F8" i="17"/>
  <c r="K8" i="17" s="1"/>
  <c r="G6" i="17"/>
  <c r="L6" i="17" s="1"/>
  <c r="F5" i="17"/>
  <c r="K6" i="17" s="1"/>
  <c r="G3" i="17"/>
  <c r="L4" i="17" s="1"/>
  <c r="C3" i="17"/>
  <c r="H4" i="17" s="1"/>
  <c r="J5" i="15"/>
  <c r="J4" i="15"/>
  <c r="C5" i="17"/>
  <c r="J3" i="15"/>
  <c r="S2" i="8"/>
  <c r="F2" i="12" s="1"/>
  <c r="F5" i="16"/>
  <c r="H3" i="16"/>
  <c r="D4" i="16"/>
  <c r="H4" i="16" s="1"/>
  <c r="I5" i="16"/>
  <c r="D2" i="16"/>
  <c r="F2" i="16" s="1"/>
  <c r="B6" i="16"/>
  <c r="A2" i="12" s="1"/>
  <c r="I8" i="17" l="1"/>
  <c r="P6" i="17"/>
  <c r="O6" i="15" s="1"/>
  <c r="R8" i="15"/>
  <c r="U8" i="15" s="1"/>
  <c r="O8" i="17"/>
  <c r="N8" i="15" s="1"/>
  <c r="N8" i="17"/>
  <c r="H3" i="17"/>
  <c r="M3" i="17" s="1"/>
  <c r="I4" i="17"/>
  <c r="M4" i="17" s="1"/>
  <c r="H7" i="17"/>
  <c r="I7" i="17"/>
  <c r="L3" i="17"/>
  <c r="P3" i="17" s="1"/>
  <c r="O3" i="15" s="1"/>
  <c r="E3" i="17"/>
  <c r="H5" i="17"/>
  <c r="M5" i="17" s="1"/>
  <c r="H6" i="17"/>
  <c r="M6" i="17" s="1"/>
  <c r="K7" i="17"/>
  <c r="K4" i="17"/>
  <c r="P4" i="17" s="1"/>
  <c r="O4" i="15" s="1"/>
  <c r="E5" i="17"/>
  <c r="L7" i="17"/>
  <c r="K5" i="17"/>
  <c r="P5" i="17" s="1"/>
  <c r="O5" i="15" s="1"/>
  <c r="F3" i="16"/>
  <c r="F4" i="16"/>
  <c r="I3" i="16"/>
  <c r="I4" i="16"/>
  <c r="D6" i="16"/>
  <c r="H2" i="16"/>
  <c r="H6" i="16" s="1"/>
  <c r="I2" i="16"/>
  <c r="P7" i="17" l="1"/>
  <c r="O7" i="15" s="1"/>
  <c r="M8" i="15"/>
  <c r="L4" i="15"/>
  <c r="R4" i="15" s="1"/>
  <c r="U4" i="15" s="1"/>
  <c r="L3" i="15"/>
  <c r="L6" i="15"/>
  <c r="R6" i="15" s="1"/>
  <c r="U6" i="15" s="1"/>
  <c r="L5" i="15"/>
  <c r="R5" i="15" s="1"/>
  <c r="U5" i="15" s="1"/>
  <c r="O8" i="15"/>
  <c r="S8" i="15" s="1"/>
  <c r="T8" i="15" s="1"/>
  <c r="J4" i="17"/>
  <c r="J7" i="17"/>
  <c r="J3" i="17"/>
  <c r="M7" i="17"/>
  <c r="J6" i="17"/>
  <c r="J5" i="17"/>
  <c r="F6" i="16"/>
  <c r="I6" i="16"/>
  <c r="D9" i="16" s="1"/>
  <c r="D11" i="16"/>
  <c r="L7" i="15" l="1"/>
  <c r="R7" i="15" s="1"/>
  <c r="U7" i="15" s="1"/>
  <c r="V8" i="15"/>
  <c r="Q8" i="15"/>
  <c r="O6" i="17"/>
  <c r="N6" i="17"/>
  <c r="O5" i="17"/>
  <c r="N5" i="17"/>
  <c r="N3" i="17"/>
  <c r="O3" i="17"/>
  <c r="N3" i="15" s="1"/>
  <c r="N7" i="17"/>
  <c r="O7" i="17"/>
  <c r="N7" i="15" s="1"/>
  <c r="N4" i="17"/>
  <c r="O4" i="17"/>
  <c r="D10" i="16"/>
  <c r="D12" i="16"/>
  <c r="R3" i="15"/>
  <c r="S5" i="15" l="1"/>
  <c r="T5" i="15" s="1"/>
  <c r="N5" i="15"/>
  <c r="S4" i="15"/>
  <c r="T4" i="15" s="1"/>
  <c r="N4" i="15"/>
  <c r="S6" i="15"/>
  <c r="T6" i="15" s="1"/>
  <c r="N6" i="15"/>
  <c r="M6" i="15"/>
  <c r="M5" i="15"/>
  <c r="M4" i="15"/>
  <c r="M3" i="15"/>
  <c r="M7" i="15"/>
  <c r="W8" i="15"/>
  <c r="S7" i="15"/>
  <c r="T7" i="15" s="1"/>
  <c r="U9" i="15"/>
  <c r="U3" i="15"/>
  <c r="Q6" i="15" l="1"/>
  <c r="Q5" i="15"/>
  <c r="V6" i="15"/>
  <c r="Q4" i="15"/>
  <c r="V4" i="15"/>
  <c r="V5" i="15"/>
  <c r="W5" i="15" s="1"/>
  <c r="W6" i="15"/>
  <c r="W4" i="15"/>
  <c r="V7" i="15"/>
  <c r="Q7" i="15"/>
  <c r="S3" i="15"/>
  <c r="Q3" i="15" s="1"/>
  <c r="H2" i="9"/>
  <c r="W7" i="15" l="1"/>
  <c r="T3" i="15"/>
  <c r="V3" i="15"/>
  <c r="H3" i="9"/>
  <c r="W3" i="15" l="1"/>
  <c r="H5" i="9"/>
  <c r="H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Peñaloza, Mishel Flor</author>
  </authors>
  <commentList>
    <comment ref="E1" authorId="0" shapeId="0" xr:uid="{8BF284C5-5068-46C1-BED3-4F990E596BDC}">
      <text>
        <r>
          <rPr>
            <b/>
            <sz val="9"/>
            <color indexed="81"/>
            <rFont val="Tahoma"/>
            <charset val="1"/>
          </rPr>
          <t>Ruiz Peñaloza, Mishel Flor:</t>
        </r>
        <r>
          <rPr>
            <sz val="9"/>
            <color indexed="81"/>
            <rFont val="Tahoma"/>
            <charset val="1"/>
          </rPr>
          <t xml:space="preserve">
deben estar expresadas sobre la misma base preferentemente materia seca.</t>
        </r>
      </text>
    </comment>
  </commentList>
</comments>
</file>

<file path=xl/sharedStrings.xml><?xml version="1.0" encoding="utf-8"?>
<sst xmlns="http://schemas.openxmlformats.org/spreadsheetml/2006/main" count="295" uniqueCount="216">
  <si>
    <t xml:space="preserve">Residuos organicos </t>
  </si>
  <si>
    <t>Lodo deshidratado de PTAR</t>
  </si>
  <si>
    <t>Carbono (%)</t>
  </si>
  <si>
    <t>Humedad (%)</t>
  </si>
  <si>
    <t>Nitrogeno (%)</t>
  </si>
  <si>
    <t>Relacion C/N</t>
  </si>
  <si>
    <t>Fuente</t>
  </si>
  <si>
    <t>He et al. (2021). Science of The Total Environment.</t>
  </si>
  <si>
    <t xml:space="preserve">Li et al. (2023). Journal of Environmental Management. </t>
  </si>
  <si>
    <t>Densidad (Kg/m3)</t>
  </si>
  <si>
    <t>FECHA</t>
  </si>
  <si>
    <t xml:space="preserve">TONELADAS DE LODO </t>
  </si>
  <si>
    <t>COMENTARIOS</t>
  </si>
  <si>
    <t>Se inicio con la formacion de la pila</t>
  </si>
  <si>
    <t>ingreso de residuos humedos, presencia de plasticos en segregacion</t>
  </si>
  <si>
    <t>TONELADAS DE RESIDUOS ORGANICOS</t>
  </si>
  <si>
    <t>TONELADAS DE RESIDUOS ORGANICOS DESHIDRATADOS</t>
  </si>
  <si>
    <t xml:space="preserve">TONELADAS DE CARTÓN </t>
  </si>
  <si>
    <t xml:space="preserve"> </t>
  </si>
  <si>
    <t>Temp 01 (°C)</t>
  </si>
  <si>
    <t>Temp 02 (°C)</t>
  </si>
  <si>
    <t>Temp 03 (°C)</t>
  </si>
  <si>
    <t>Promedio (°C)</t>
  </si>
  <si>
    <t>pH- 01</t>
  </si>
  <si>
    <t>pH- 02</t>
  </si>
  <si>
    <t>pH - 03</t>
  </si>
  <si>
    <t>Promedio (pH)</t>
  </si>
  <si>
    <t>N° Volteo</t>
  </si>
  <si>
    <t>Blas Adrián Carpio Alvarez</t>
  </si>
  <si>
    <t>Fecha  de evaluación  (dd/mm/aa)</t>
  </si>
  <si>
    <t>Empresa</t>
  </si>
  <si>
    <t xml:space="preserve">      Sepersur</t>
  </si>
  <si>
    <t>CMP-001-2026</t>
  </si>
  <si>
    <t xml:space="preserve">Fecha </t>
  </si>
  <si>
    <t xml:space="preserve">Condicion </t>
  </si>
  <si>
    <t>Parametro</t>
  </si>
  <si>
    <t xml:space="preserve">Temperatura minima </t>
  </si>
  <si>
    <t xml:space="preserve">humedad minima </t>
  </si>
  <si>
    <t xml:space="preserve">humedad maxima </t>
  </si>
  <si>
    <t xml:space="preserve">Ph minimo </t>
  </si>
  <si>
    <t>C/N minimo</t>
  </si>
  <si>
    <t xml:space="preserve">C/N maximo </t>
  </si>
  <si>
    <t xml:space="preserve">Ph maximo </t>
  </si>
  <si>
    <t xml:space="preserve">Temperatura maxima </t>
  </si>
  <si>
    <t xml:space="preserve">Fuente: </t>
  </si>
  <si>
    <t>OPERADOR</t>
  </si>
  <si>
    <t xml:space="preserve">MISHEL RUIZ </t>
  </si>
  <si>
    <t>Residuos organicos deshidratados</t>
  </si>
  <si>
    <t>Arumugam, V., et al. (2022). Dehydrated Food Waste for Composting: An Overview. Pertanika Journal of Science and Technology, 30(4).</t>
  </si>
  <si>
    <t>CODIGO DE LOTE</t>
  </si>
  <si>
    <t>ETAPA</t>
  </si>
  <si>
    <t>TABLA 1. PARAMETROS POR FASE</t>
  </si>
  <si>
    <t>Unidad</t>
  </si>
  <si>
    <t>°C</t>
  </si>
  <si>
    <t>%</t>
  </si>
  <si>
    <t>-</t>
  </si>
  <si>
    <t>estado esperado</t>
  </si>
  <si>
    <t xml:space="preserve">inicio de degradacion </t>
  </si>
  <si>
    <t xml:space="preserve">maxima actividad biologica </t>
  </si>
  <si>
    <t xml:space="preserve">enfriamiento </t>
  </si>
  <si>
    <t xml:space="preserve">compost estable </t>
  </si>
  <si>
    <t xml:space="preserve">elaboracion propia </t>
  </si>
  <si>
    <t>Nombre de insumo</t>
  </si>
  <si>
    <t>RO</t>
  </si>
  <si>
    <t>LD</t>
  </si>
  <si>
    <t>CA</t>
  </si>
  <si>
    <t xml:space="preserve">Carton </t>
  </si>
  <si>
    <t xml:space="preserve">codigo de insumo </t>
  </si>
  <si>
    <t>Humedad inicial (%)</t>
  </si>
  <si>
    <t>Mesófila I</t>
  </si>
  <si>
    <t xml:space="preserve">Termófila </t>
  </si>
  <si>
    <t>Mesófila II</t>
  </si>
  <si>
    <t>Maduración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</si>
  <si>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</si>
  <si>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</si>
  <si>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</si>
  <si>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</si>
  <si>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</t>
  </si>
  <si>
    <t xml:space="preserve">                                               </t>
  </si>
  <si>
    <t xml:space="preserve">                 </t>
  </si>
  <si>
    <t xml:space="preserve">                    </t>
  </si>
  <si>
    <t>Humedad inicial de la mezcla (%)</t>
  </si>
  <si>
    <t>Carbono total en base seca (Ton o kg)</t>
  </si>
  <si>
    <t xml:space="preserve">Nitrogeno total en base seca (ton o kg) </t>
  </si>
  <si>
    <t xml:space="preserve">Relacion C/N  inicial </t>
  </si>
  <si>
    <t>Stock Acumulado (ton)</t>
  </si>
  <si>
    <t>Compost ingresado a stock (ton)</t>
  </si>
  <si>
    <t>salida para remediacion (ton)</t>
  </si>
  <si>
    <t>salida para donacion (ton)</t>
  </si>
  <si>
    <t>Total de residuos ingresados a compostaje (ton)</t>
  </si>
  <si>
    <t xml:space="preserve">numero de alertas </t>
  </si>
  <si>
    <t>ID</t>
  </si>
  <si>
    <t xml:space="preserve">Modulo </t>
  </si>
  <si>
    <t>Insumo</t>
  </si>
  <si>
    <t>Masa humeda (ton)</t>
  </si>
  <si>
    <t>Masa seca (ton)</t>
  </si>
  <si>
    <t>Carbono (ton)</t>
  </si>
  <si>
    <t>Nitrogeno (ton)</t>
  </si>
  <si>
    <t>ROD</t>
  </si>
  <si>
    <t xml:space="preserve">TOTAL </t>
  </si>
  <si>
    <t>Agua (ton)</t>
  </si>
  <si>
    <t xml:space="preserve">Humedad inicial </t>
  </si>
  <si>
    <t>Carbono de la mezcla (%)</t>
  </si>
  <si>
    <t>Nitrogeno de la mezcla (%)</t>
  </si>
  <si>
    <t xml:space="preserve">Relacion C/N inicial </t>
  </si>
  <si>
    <t xml:space="preserve">ESTADO DE FORMULACIÓN </t>
  </si>
  <si>
    <t xml:space="preserve">PANEL DE RESULTADOS </t>
  </si>
  <si>
    <t xml:space="preserve">Recomendaciones del sistema </t>
  </si>
  <si>
    <t>INGRESO DE RESIDUOS</t>
  </si>
  <si>
    <t>Estado de la relacion C/N</t>
  </si>
  <si>
    <t>Estado de la formulación</t>
  </si>
  <si>
    <t xml:space="preserve">Formulacion </t>
  </si>
  <si>
    <t>Humedad &lt; limite minimo de Mesófila I</t>
  </si>
  <si>
    <t>Recomendación</t>
  </si>
  <si>
    <t xml:space="preserve">Reformular </t>
  </si>
  <si>
    <t xml:space="preserve">Incrementar la humedad inicial de la mezcla antes de conformar la pila </t>
  </si>
  <si>
    <t>R-001</t>
  </si>
  <si>
    <t>R-002</t>
  </si>
  <si>
    <t>Humedad &gt; limite maximo de Mesófila I</t>
  </si>
  <si>
    <t xml:space="preserve">Incrementar el material estructurante para reducir la humedad de la mezcla </t>
  </si>
  <si>
    <t>R-003</t>
  </si>
  <si>
    <t xml:space="preserve">Humedad dentro del rango </t>
  </si>
  <si>
    <t xml:space="preserve">Aprobada </t>
  </si>
  <si>
    <t xml:space="preserve">La humedad inciial es adecuada para iniciar el proceso </t>
  </si>
  <si>
    <t>R-004</t>
  </si>
  <si>
    <t xml:space="preserve">Relacion C/N </t>
  </si>
  <si>
    <t xml:space="preserve">C/N &lt; limite minimo </t>
  </si>
  <si>
    <t xml:space="preserve">Incrementar materiales ricos en carbono, como aserrin, podas, etc </t>
  </si>
  <si>
    <t>R-005</t>
  </si>
  <si>
    <t xml:space="preserve">C/N &gt; limite maximo </t>
  </si>
  <si>
    <t xml:space="preserve">incrementar materiales con mayor contenido de nitrogeno </t>
  </si>
  <si>
    <t>R-006</t>
  </si>
  <si>
    <t xml:space="preserve">C/N dentro del rango </t>
  </si>
  <si>
    <t xml:space="preserve">La relacion C/N es adecuada </t>
  </si>
  <si>
    <t xml:space="preserve">Estado de la humedad </t>
  </si>
  <si>
    <t>Estado Humedad</t>
  </si>
  <si>
    <t>Estado pH</t>
  </si>
  <si>
    <t xml:space="preserve">Estado temperatura </t>
  </si>
  <si>
    <t xml:space="preserve">Estado General </t>
  </si>
  <si>
    <t>Seguimiento</t>
  </si>
  <si>
    <t xml:space="preserve">Temperatura </t>
  </si>
  <si>
    <t xml:space="preserve">Temperatura &lt; limite minimo </t>
  </si>
  <si>
    <t xml:space="preserve">Temperatura &gt; limite maximo </t>
  </si>
  <si>
    <t xml:space="preserve">Temperatura dentro del rango </t>
  </si>
  <si>
    <t>Verificar humedad, mezcla y evolución de la actividad biológica.</t>
  </si>
  <si>
    <t>pH</t>
  </si>
  <si>
    <t xml:space="preserve">pH &lt; limite minimo </t>
  </si>
  <si>
    <t xml:space="preserve">Humedad  </t>
  </si>
  <si>
    <t>Humedad</t>
  </si>
  <si>
    <t xml:space="preserve">Humedad &lt; limite minimo </t>
  </si>
  <si>
    <t xml:space="preserve">Humedad &gt; limite maximo </t>
  </si>
  <si>
    <t>pH &gt; limite maximo</t>
  </si>
  <si>
    <t>Incrementar material seco y revisar aireación o drenaje.</t>
  </si>
  <si>
    <t>Adicionar agua durante el volteo hasta alcanzar el rango recomendado.</t>
  </si>
  <si>
    <t>La humedad se encuentra dentro del rango esperado.</t>
  </si>
  <si>
    <t>Realizar volteo y verificar aireación de la pila.</t>
  </si>
  <si>
    <t>Revisar composición de la mezcla y continuar el seguimiento del pH.</t>
  </si>
  <si>
    <t>Revisar composición de la mezcla y posibles pérdidas de nitrógeno.</t>
  </si>
  <si>
    <t>El pH se encuentra dentro del rango esperado.</t>
  </si>
  <si>
    <t>La temperatura se encuentra dentro del rango esperado.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</si>
  <si>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</si>
  <si>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</si>
  <si>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</si>
  <si>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</si>
  <si>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</si>
  <si>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</si>
  <si>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</si>
  <si>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</si>
  <si>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</si>
  <si>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 xml:space="preserve">pH  limite dentro del rango </t>
  </si>
  <si>
    <t>BAJA</t>
  </si>
  <si>
    <t>ALTA</t>
  </si>
  <si>
    <t>RESULTADO</t>
  </si>
  <si>
    <t>CORRECTA</t>
  </si>
  <si>
    <t>ESTADO EVALUADO</t>
  </si>
  <si>
    <t xml:space="preserve">Recomendaciones </t>
  </si>
  <si>
    <t xml:space="preserve">REPORTE </t>
  </si>
  <si>
    <t>BAJO</t>
  </si>
  <si>
    <t>CORRECTO</t>
  </si>
  <si>
    <t>ALTO</t>
  </si>
  <si>
    <t xml:space="preserve">CLAVE </t>
  </si>
  <si>
    <t>Recomendación para humedad</t>
  </si>
  <si>
    <t>Recomendación para relacion C/N</t>
  </si>
  <si>
    <t xml:space="preserve">Recomendación final </t>
  </si>
  <si>
    <t>Masa total de la mezcla  calculada (ton)</t>
  </si>
  <si>
    <t>Numero de ficha (peso)</t>
  </si>
  <si>
    <t>1/9/2026</t>
  </si>
  <si>
    <t>Estado del inventario</t>
  </si>
  <si>
    <t>Residuos organicos valorizados (ton)</t>
  </si>
  <si>
    <t>Stock disponible  (ton)</t>
  </si>
  <si>
    <t>Compost  producido (ton)</t>
  </si>
  <si>
    <t>Cumplimiento de registros (%)</t>
  </si>
  <si>
    <t>CMP-002-2026</t>
  </si>
  <si>
    <t>TOTAL DIARIO</t>
  </si>
  <si>
    <t xml:space="preserve">TOTAL ACUMULADO DE LOTE </t>
  </si>
  <si>
    <t>Agua diaria (ton)</t>
  </si>
  <si>
    <t>Masa seca diaria (ton)</t>
  </si>
  <si>
    <t>Carbono diario (ton)</t>
  </si>
  <si>
    <t>Nitrogeno diario (ton)</t>
  </si>
  <si>
    <t>Masa humeda acumulada del lote (ton)</t>
  </si>
  <si>
    <t>Agua acumulada del lote (ton)</t>
  </si>
  <si>
    <t>Carbono acumulado del lote (ton)</t>
  </si>
  <si>
    <t>Nitrogeno acumulado del lote (ton)</t>
  </si>
  <si>
    <t>Humedad acumulada (%)</t>
  </si>
  <si>
    <t>Carbono acumulado en base seca (%)</t>
  </si>
  <si>
    <t>Nitrogeno acumulado en base seca (%)</t>
  </si>
  <si>
    <t>Relacion C/N acumulada</t>
  </si>
  <si>
    <t xml:space="preserve">Codigo de lote </t>
  </si>
  <si>
    <t>Masa humeda diaria (ton)</t>
  </si>
  <si>
    <t>Masa seca acumulada por lote(ton)</t>
  </si>
  <si>
    <t>RESULTADOS DIARIOS</t>
  </si>
  <si>
    <t xml:space="preserve">RESULTADOS DE LOTE </t>
  </si>
  <si>
    <t>RESULTADO ACUMULADO</t>
  </si>
  <si>
    <t>DATOS DE INGRESO</t>
  </si>
  <si>
    <t xml:space="preserve">ESTADO DE LOTE </t>
  </si>
  <si>
    <t>EN ALIMENTACION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</si>
</sst>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22">
    <font>
      <sz val="11"/>
      <name val="Aptos Narrow"/>
    </font>
    <font>
      <b/>
      <sz val="11"/>
      <color theme="0"/>
      <name val="Aptos Narrow"/>
      <family val="2"/>
      <scheme val="minor"/>
    </font>
    <font>
      <sz val="11"/>
      <name val="Aptos Narrow"/>
      <family val="2"/>
    </font>
    <font>
      <sz val="10"/>
      <name val="Segoe UI"/>
      <family val="2"/>
    </font>
    <font>
      <sz val="11"/>
      <color rgb="FF000000"/>
      <name val="Aptos Narrow"/>
      <family val="2"/>
      <scheme val="minor"/>
    </font>
    <font>
      <sz val="11"/>
      <color theme="1"/>
      <name val="Aptos Narrow"/>
    </font>
    <font>
      <sz val="11"/>
      <color theme="0"/>
      <name val="Aptos Narrow"/>
      <family val="2"/>
    </font>
    <font>
      <sz val="11"/>
      <color theme="1"/>
      <name val="Segoe U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0"/>
      <name val="Segoe UI"/>
      <family val="2"/>
    </font>
    <font>
      <sz val="11"/>
      <color rgb="FF000000"/>
      <name val="Ff2"/>
    </font>
    <font>
      <sz val="11"/>
      <color theme="1"/>
      <name val="Aptos Narrow"/>
      <family val="2"/>
    </font>
    <font>
      <b/>
      <sz val="11"/>
      <color theme="0"/>
      <name val="Aptos Narrow"/>
    </font>
    <font>
      <b/>
      <sz val="11"/>
      <color theme="0"/>
      <name val="Aptos Narrow"/>
      <family val="2"/>
    </font>
    <font>
      <sz val="8"/>
      <name val="Aptos Narrow"/>
    </font>
    <font>
      <b/>
      <sz val="14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sz val="10"/>
      <name val="Aptos Narrow"/>
      <family val="2"/>
    </font>
    <font>
      <sz val="12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6" fillId="4" borderId="0" xfId="0" applyFont="1" applyFill="1"/>
    <xf numFmtId="0" fontId="9" fillId="4" borderId="0" xfId="0" applyFont="1" applyFill="1"/>
    <xf numFmtId="0" fontId="10" fillId="4" borderId="0" xfId="0" applyFont="1" applyFill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9" fontId="7" fillId="4" borderId="0" xfId="0" applyNumberFormat="1" applyFon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165" fontId="0" fillId="0" borderId="0" xfId="0" applyNumberFormat="1"/>
    <xf numFmtId="0" fontId="14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5" xfId="0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0" fillId="0" borderId="0" xfId="0" applyNumberFormat="1"/>
    <xf numFmtId="14" fontId="1" fillId="3" borderId="0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20" fillId="7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0" fillId="0" borderId="0" xfId="0" applyNumberFormat="1" applyAlignment="1">
      <alignment wrapText="1"/>
    </xf>
    <xf numFmtId="0" fontId="1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0" borderId="0" xfId="0" applyFont="1" applyBorder="1"/>
    <xf numFmtId="0" fontId="6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6"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fill>
        <patternFill>
          <bgColor rgb="FFCC0066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ont>
        <strike val="0"/>
        <outline val="0"/>
        <shadow val="0"/>
        <u val="none"/>
        <vertAlign val="baseline"/>
        <color theme="0"/>
        <name val="Aptos Narrow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CC0066"/>
      <color rgb="FFFF99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0FC455-24CF-4E66-B8C2-52D6A3F8C0AC}" name="Table9" displayName="Table9" ref="A2:G11" totalsRowShown="0" dataDxfId="89">
  <autoFilter ref="A2:G11" xr:uid="{DC0FC455-24CF-4E66-B8C2-52D6A3F8C0AC}"/>
  <tableColumns count="7">
    <tableColumn id="1" xr3:uid="{CC3B574F-E27F-413D-97E8-9537DF94269A}" name="Parametro"/>
    <tableColumn id="7" xr3:uid="{31105658-6F32-48B6-8876-D035B990630C}" name="Unidad" dataDxfId="88"/>
    <tableColumn id="2" xr3:uid="{D682FB6B-9E90-457D-96A4-807678C3D581}" name="Mesófila I" dataDxfId="87"/>
    <tableColumn id="3" xr3:uid="{FEA1E499-9B43-4E54-A972-9209C66C98D9}" name="Termófila " dataDxfId="86"/>
    <tableColumn id="4" xr3:uid="{13C8682C-BAE4-4F99-BBFD-7E52F56B6430}" name="Mesófila II" dataDxfId="85"/>
    <tableColumn id="5" xr3:uid="{843FA08B-D107-4ADF-B5AC-FD2EEDFCE796}" name="Maduración" dataDxfId="84"/>
    <tableColumn id="6" xr3:uid="{A288719C-2759-48F8-AB04-6B0F737C89CB}" name="Fuente: " dataDxfId="8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0866CB-3DC5-481D-8C83-6B8960D40213}" name="Table3" displayName="Table3" ref="A1:H5" insertRowShift="1" totalsRowShown="0">
  <autoFilter ref="A1:H5" xr:uid="{3A0866CB-3DC5-481D-8C83-6B8960D40213}"/>
  <tableColumns count="8">
    <tableColumn id="1" xr3:uid="{632EF686-0ED9-4D03-8407-B9925D062B63}" name="Nombre de insumo"/>
    <tableColumn id="8" xr3:uid="{EBB11E2C-64EF-4641-AFCC-82F5F73E29FF}" name="codigo de insumo "/>
    <tableColumn id="2" xr3:uid="{7DA1F54F-D3F5-4927-A3F4-9216C09ADB8C}" name="Humedad (%)" dataDxfId="82"/>
    <tableColumn id="3" xr3:uid="{2ECF8BD7-8192-4479-99A0-F766E5FD2C7F}" name="Carbono (%)" dataDxfId="81"/>
    <tableColumn id="4" xr3:uid="{231E1900-6DC3-439A-BECA-1CE8FA087FD4}" name="Nitrogeno (%)" dataDxfId="80"/>
    <tableColumn id="5" xr3:uid="{E5B09940-1D3C-4D58-89C7-0AA2FCB76389}" name="Relacion C/N" dataDxfId="79"/>
    <tableColumn id="6" xr3:uid="{187E6D5B-F5CA-4114-B3E1-F540BE1C26E4}" name="Densidad (Kg/m3)" dataDxfId="78"/>
    <tableColumn id="7" xr3:uid="{D0DE92C8-A852-446C-86C0-8F6CB9AF3857}" name="Fuent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DAEA86-B06B-4A28-BC0E-4E6D2786F910}" name="Table211" displayName="Table211" ref="A2:W8" totalsRowShown="0" headerRowDxfId="95">
  <tableColumns count="23">
    <tableColumn id="1" xr3:uid="{B9DE8FBA-E9BD-4669-9330-8DBE65C8FAF0}" name="FECHA" dataDxfId="94"/>
    <tableColumn id="10" xr3:uid="{7C883F31-9D14-4CF5-B692-F36AAD7A9187}" name="OPERADOR" dataDxfId="93"/>
    <tableColumn id="11" xr3:uid="{C6E1BB0F-B2D5-40A5-AFF4-500B97BA937D}" name="CODIGO DE LOTE" dataDxfId="92"/>
    <tableColumn id="4" xr3:uid="{27F1045F-4B29-4CC7-98B4-88AB81431037}" name="TONELADAS DE RESIDUOS ORGANICOS"/>
    <tableColumn id="9" xr3:uid="{F1211492-7E42-44D0-AA02-2CEC4FC387C1}" name="TONELADAS DE RESIDUOS ORGANICOS DESHIDRATADOS"/>
    <tableColumn id="5" xr3:uid="{104EB3C8-8B4F-40A1-BC5C-2032A3D2207C}" name="TONELADAS DE LODO "/>
    <tableColumn id="6" xr3:uid="{E726AF50-9DB4-4779-ABF0-C857E1CF5CC1}" name="TONELADAS DE CARTÓN "/>
    <tableColumn id="8" xr3:uid="{DBED4005-5759-4B93-83C5-519C1C2C5448}" name="COMENTARIOS"/>
    <tableColumn id="17" xr3:uid="{667C3E19-FC42-44C2-8BBE-5A075F4FA64C}" name="TOTAL DIARIO" dataDxfId="35">
      <calculatedColumnFormula>SUM(Table211[[#This Row],[TONELADAS DE RESIDUOS ORGANICOS]:[TONELADAS DE CARTÓN ]])</calculatedColumnFormula>
    </tableColumn>
    <tableColumn id="18" xr3:uid="{8C2EDE30-76EB-43A9-B242-FA233B3C0804}" name="TOTAL ACUMULADO DE LOTE " dataDxfId="4">
      <calculatedColumnFormula>SUMIFS($I$3:I3,$C$3:C3,C3)</calculatedColumnFormula>
    </tableColumn>
    <tableColumn id="24" xr3:uid="{1062FF25-76A4-4E2A-8BCB-FBFA53890464}" name="ESTADO DE LOTE " dataDxfId="2"/>
    <tableColumn id="2" xr3:uid="{17A97C9A-D065-4C8B-8FC6-668B80DE80E1}" name="Humedad inicial de la mezcla (%)" dataDxfId="3">
      <calculatedColumnFormula>'Calculo progresivo por lote'!M3</calculatedColumnFormula>
    </tableColumn>
    <tableColumn id="3" xr3:uid="{438933E1-D9AF-4710-8463-89F084161E67}" name="Carbono total en base seca (Ton o kg)" dataDxfId="17">
      <calculatedColumnFormula>'Calculo progresivo por lote'!N3</calculatedColumnFormula>
    </tableColumn>
    <tableColumn id="12" xr3:uid="{86B97DBB-43F8-4DB7-9CB6-A0D3FC8C0DF9}" name="Nitrogeno total en base seca (ton o kg) " dataDxfId="16">
      <calculatedColumnFormula>'Calculo progresivo por lote'!O3</calculatedColumnFormula>
    </tableColumn>
    <tableColumn id="13" xr3:uid="{58CA3B42-5E75-4A5C-BD3B-ED83FA780087}" name="Relacion C/N  inicial " dataDxfId="20">
      <calculatedColumnFormula>'Calculo progresivo por lote'!O3</calculatedColumnFormula>
    </tableColumn>
    <tableColumn id="14" xr3:uid="{0DC2F583-ADF7-49E1-BA56-4409FB13512C}" name="Masa total de la mezcla  calculada (ton)" dataDxfId="36">
      <calculatedColumnFormula>SUM(D3:G3)</calculatedColumnFormula>
    </tableColumn>
    <tableColumn id="15" xr3:uid="{F9D0CDB0-0B3B-430A-AA40-11C92BE93E66}" name="Recomendaciones del sistema " dataDxfId="91">
      <calculatedColumnFormula>IF(OR(R3="",S3=""),"",
IF(AND(R3="CORRECTA",S3="CORRECTO"),
"La formulación cumple los criterios iniciales para conformar la pila.",
IF(AND(R3="BAJA",S3="BAJO"),
"Ajustar la humedad e incrementar material rico en carbono antes de conformar la pila.",
IF(AND(R3="BAJA",S3="ALTO"),
"Ajustar la humedad e incrementar material con mayor aporte de nitrógeno.",
IF(AND(R3="ALTA",S3="BAJO"),
"Incrementar material seco y rico en carbono antes de conformar la pila.",
IF(AND(R3="ALTA",S3="ALTO"),
"Incrementar material seco y revisar el balance de nitrógeno de la mezcla.",
IF(R3="BAJA",
"Ajustar la humedad inicial antes de conformar la pila.",
IF(R3="ALTA",
"Incrementar material seco para reducir la humedad.",
IF(S3="BAJO",
"Incrementar material rico en carbono, como cartón.",
IF(S3="ALTO",
"Incrementar material con mayor aporte de nitrógeno.",
"Revisar la formulación."))))))))))</calculatedColumnFormula>
    </tableColumn>
    <tableColumn id="19" xr3:uid="{CDA8686A-5094-4B4F-8C4B-03EA7A161B4F}" name="Estado de la humedad " dataDxfId="90">
      <calculatedColumnFormula>IF(L3&lt;'HOJA 1. CONFIGURACION'!$C$5,"BAJA",
IF(L3&gt;'HOJA 1. CONFIGURACION'!$C$6,"ALTA",
"CORRECTA"))</calculatedColumnFormula>
    </tableColumn>
    <tableColumn id="20" xr3:uid="{DB258EAA-4022-4DB2-8D0E-02B200E3487E}" name="Estado de la relacion C/N" dataDxfId="15">
      <calculatedColumnFormula>IF(O3&lt;'HOJA 1. CONFIGURACION'!$C$9,"BAJO",
IF(O3&gt;'HOJA 1. CONFIGURACION'!$C$10,"ALTO",
"CORRECTO"))</calculatedColumnFormula>
    </tableColumn>
    <tableColumn id="21" xr3:uid="{6BDF3539-3022-4BA9-824F-84F855424CDA}" name="Estado de la formulación" dataDxfId="13">
      <calculatedColumnFormula>IF(OR(R3="",S3=""),"",IF(AND(TRIM(R3)="CORRECTA",TRIM(S3)="CORRECTO"),"APROBADA","REFORMULAR"))</calculatedColumnFormula>
    </tableColumn>
    <tableColumn id="23" xr3:uid="{147D7839-841E-474C-AC32-15C35F290B02}" name="Recomendación para humedad" dataDxfId="14">
      <calculatedColumnFormula>IF(R3="","",IF(R3="CORRECTA","",_xlfn.XLOOKUP("Humedad inicial|"&amp;TRIM(R3),Table8[[CLAVE ]],Table8[Recomendación],"REGLA NO ENCONTRADA")))</calculatedColumnFormula>
    </tableColumn>
    <tableColumn id="7" xr3:uid="{995FB719-E19D-4E29-A9A6-1CE028CAF13B}" name="Recomendación para relacion C/N" dataDxfId="18">
      <calculatedColumnFormula>IF(S3="","",IF(S3="CORRECTO","",_xlfn.XLOOKUP("Relacion C/N|"&amp;TRIM(S3),Table8[[CLAVE ]],Table8[Recomendación],"REGLA NO ENCONTRADA")))</calculatedColumnFormula>
    </tableColumn>
    <tableColumn id="16" xr3:uid="{90A5E80D-627C-46D7-9BE4-04009DFAEAA2}" name="Recomendación final " dataDxfId="19">
      <calculatedColumnFormula>IF(T3="","",IF(T3="APROBADA","La formulación cumple los parámetros establecidos para iniciar el compostaje.",_xlfn.TEXTJOIN(" | ",TRUE,U3,V3)))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811BD-62EF-49DD-8162-5AD218D0D032}" name="Table1" displayName="Table1" ref="A1:I6" totalsRowShown="0">
  <autoFilter ref="A1:I6" xr:uid="{FF9811BD-62EF-49DD-8162-5AD218D0D032}"/>
  <tableColumns count="9">
    <tableColumn id="1" xr3:uid="{A1B22E68-0971-468F-BC25-D5EE98897512}" name="Insumo"/>
    <tableColumn id="2" xr3:uid="{35D51007-EDCD-4428-A784-8444CF895330}" name="Masa humeda (ton)" dataDxfId="77" totalsRowDxfId="76">
      <calculatedColumnFormula>'HOJA 3. FORMULACION'!D3</calculatedColumnFormula>
    </tableColumn>
    <tableColumn id="3" xr3:uid="{095AF084-8F19-43ED-8A63-D2FD6693C8C7}" name="Humedad (%)" dataDxfId="75" totalsRowDxfId="74">
      <calculatedColumnFormula>_xlfn.XLOOKUP(A2,'HOJA 2. INSUMOS'!$B$2:$B$5,'HOJA 2. INSUMOS'!$C$2:$C$5)</calculatedColumnFormula>
    </tableColumn>
    <tableColumn id="4" xr3:uid="{E7895FF6-5778-4DB7-AAB2-FA3D4D0E0912}" name="Masa seca (ton)" dataDxfId="73" totalsRowDxfId="72">
      <calculatedColumnFormula>B2*(1-C2/100)</calculatedColumnFormula>
    </tableColumn>
    <tableColumn id="5" xr3:uid="{7257609E-92DF-48C3-862A-1FEC457ECDEF}" name="Carbono (%)" dataDxfId="71" totalsRowDxfId="70">
      <calculatedColumnFormula>_xlfn.XLOOKUP(A2,'HOJA 2. INSUMOS'!$B$2:$B$5,'HOJA 2. INSUMOS'!$D$2:$D$5)</calculatedColumnFormula>
    </tableColumn>
    <tableColumn id="6" xr3:uid="{44BD1C5B-E537-4CE8-AF36-53B038AAF3BE}" name="Carbono (ton)"/>
    <tableColumn id="7" xr3:uid="{ECD876BC-E4EF-4DDB-8F62-333FEF9C1AB3}" name="Nitrogeno (%)"/>
    <tableColumn id="8" xr3:uid="{57E5250E-6076-4253-ADB6-D35DC45DA70D}" name="Nitrogeno (ton)"/>
    <tableColumn id="9" xr3:uid="{3842ECBA-747C-491E-BB98-7A81DF5A8DC6}" name="Agua (ton)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28BD82-2E07-4521-A141-711237E5A8DC}" name="Table2" displayName="Table2" ref="A2:P8" totalsRowShown="0" headerRowDxfId="34">
  <tableColumns count="16">
    <tableColumn id="1" xr3:uid="{4290F5D6-CC2B-4F52-AD25-80C0F3CC7105}" name="Fecha " dataDxfId="33">
      <calculatedColumnFormula>'HOJA 3. FORMULACION'!A3</calculatedColumnFormula>
    </tableColumn>
    <tableColumn id="2" xr3:uid="{AC5970E9-FEE3-4F99-A483-0589F1E21FCC}" name="Codigo de lote ">
      <calculatedColumnFormula>'HOJA 3. FORMULACION'!C3</calculatedColumnFormula>
    </tableColumn>
    <tableColumn id="3" xr3:uid="{B0967717-FCAC-4F07-8BC5-7368A7B32B1F}" name="Masa humeda diaria (ton)">
      <calculatedColumnFormula>'HOJA 3. FORMULACION'!I3</calculatedColumnFormula>
    </tableColumn>
    <tableColumn id="4" xr3:uid="{2306B625-1E46-449A-93E8-3B0F5EEE888A}" name="Agua diaria (ton)" dataDxfId="32">
      <calculatedColumnFormula>IF(B3="","",
'HOJA 3. FORMULACION'!D3*'HOJA 2. INSUMOS'!$C$2/100+
'HOJA 3. FORMULACION'!E3*'HOJA 2. INSUMOS'!$C$5/100+
'HOJA 3. FORMULACION'!F3*'HOJA 2. INSUMOS'!$C$3/100+
'HOJA 3. FORMULACION'!G3*'HOJA 2. INSUMOS'!$C$4/100)</calculatedColumnFormula>
    </tableColumn>
    <tableColumn id="5" xr3:uid="{4BBA6E6A-026A-4B30-8776-7EF7C8594CF1}" name="Masa seca diaria (ton)" dataDxfId="31">
      <calculatedColumnFormula>IF(B3="","",C3-D3)</calculatedColumnFormula>
    </tableColumn>
    <tableColumn id="6" xr3:uid="{DCE32C46-3055-42A3-981B-6F84B606E901}" name="Carbono diario (ton)" dataDxfId="30">
      <calculatedColumnFormula>IF(B3="","",
'HOJA 3. FORMULACION'!D3*(1-'HOJA 2. INSUMOS'!$C$2/100)*'HOJA 2. INSUMOS'!$D$2/100+
'HOJA 3. FORMULACION'!E3*(1-'HOJA 2. INSUMOS'!$C$5/100)*'HOJA 2. INSUMOS'!$D$5/100+
'HOJA 3. FORMULACION'!F3*(1-'HOJA 2. INSUMOS'!$C$3/100)*'HOJA 2. INSUMOS'!$D$3/100+
'HOJA 3. FORMULACION'!G3*(1-'HOJA 2. INSUMOS'!$C$4/100)*'HOJA 2. INSUMOS'!$D$4/100)</calculatedColumnFormula>
    </tableColumn>
    <tableColumn id="7" xr3:uid="{AB95AAEC-6AC2-4E57-8464-79672F94CDCD}" name="Nitrogeno diario (ton)" dataDxfId="29">
      <calculatedColumnFormula>IF(B3="","",
'HOJA 3. FORMULACION'!D3*(1-'HOJA 2. INSUMOS'!$C$2/100)*'HOJA 2. INSUMOS'!$E$2/100+
'HOJA 3. FORMULACION'!E3*(1-'HOJA 2. INSUMOS'!$C$5/100)*'HOJA 2. INSUMOS'!$E$5/100+
'HOJA 3. FORMULACION'!F3*(1-'HOJA 2. INSUMOS'!$C$3/100)*'HOJA 2. INSUMOS'!$E$3/100+
'HOJA 3. FORMULACION'!G3*(1-'HOJA 2. INSUMOS'!$C$4/100)*'HOJA 2. INSUMOS'!$E$4/100)</calculatedColumnFormula>
    </tableColumn>
    <tableColumn id="8" xr3:uid="{8FEFBA98-F461-4A8B-9381-5B8F29914805}" name="Masa humeda acumulada del lote (ton)">
      <calculatedColumnFormula>IF(B3="","",SUMIFS($C$3:C3,$B$3:B3,B3))</calculatedColumnFormula>
    </tableColumn>
    <tableColumn id="9" xr3:uid="{393B5CF1-1E63-4A75-BE36-1977024E4030}" name="Agua acumulada del lote (ton)" dataDxfId="28">
      <calculatedColumnFormula>IF(B3="","",SUMIFS($D$3:D3,$B$3:B3,B3))</calculatedColumnFormula>
    </tableColumn>
    <tableColumn id="10" xr3:uid="{F31BEBE2-C6D7-419B-AA71-A745BAC36C55}" name="Masa seca acumulada por lote(ton)" dataDxfId="27">
      <calculatedColumnFormula>IF(B3="","",SUMIFS($E$3:E3,$B$3:B3,B3))</calculatedColumnFormula>
    </tableColumn>
    <tableColumn id="11" xr3:uid="{7F562FFF-134F-4C23-B34B-C337053A771A}" name="Carbono acumulado del lote (ton)" dataDxfId="26">
      <calculatedColumnFormula>IF(B3="","",SUMIFS($F$3:F3,$B$3:B3,B3))</calculatedColumnFormula>
    </tableColumn>
    <tableColumn id="12" xr3:uid="{1A2AC99D-E163-4BD0-BA98-1CEFE9EA98CD}" name="Nitrogeno acumulado del lote (ton)" dataDxfId="25">
      <calculatedColumnFormula>IF(B3="","",SUMIFS($G$3:G3,$B$3:B3,B3))</calculatedColumnFormula>
    </tableColumn>
    <tableColumn id="13" xr3:uid="{271BEABA-A2C2-4C15-8251-18C17AF7DE3C}" name="Humedad acumulada (%)" dataDxfId="24">
      <calculatedColumnFormula>IF(H3=0,"",I3/H3*100)</calculatedColumnFormula>
    </tableColumn>
    <tableColumn id="14" xr3:uid="{819E3F59-E70A-40D2-8257-63D2D6333059}" name="Carbono acumulado en base seca (%)" dataDxfId="23">
      <calculatedColumnFormula>IF(J3=0,"",K3/J3*100)</calculatedColumnFormula>
    </tableColumn>
    <tableColumn id="15" xr3:uid="{7148EBD2-7CD6-49BB-8180-BD35A4753F5F}" name="Nitrogeno acumulado en base seca (%)" dataDxfId="22">
      <calculatedColumnFormula>IF(J3=0,"",L3/J3*100)</calculatedColumnFormula>
    </tableColumn>
    <tableColumn id="16" xr3:uid="{023CEFED-1DF8-41BF-BE31-BD5246633D19}" name="Relacion C/N acumulada" dataDxfId="21">
      <calculatedColumnFormula>IF(L3=0,"",K3/L3)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ED920-C41F-4D95-AD0D-5D8EE860FDE0}" name="Table4" displayName="Table4" ref="A1:T2" totalsRowShown="0" headerRowDxfId="69" headerRowBorderDxfId="68" tableBorderDxfId="67">
  <autoFilter ref="A1:T2" xr:uid="{1D9ED920-C41F-4D95-AD0D-5D8EE860FDE0}"/>
  <tableColumns count="20">
    <tableColumn id="1" xr3:uid="{F3C78A2A-E049-44AD-BCEF-3623D50497A2}" name="OPERADOR" dataDxfId="66"/>
    <tableColumn id="2" xr3:uid="{A98DA936-BC9E-4B55-BBD8-F045C36ABADE}" name="Fecha  de evaluación  (dd/mm/aa)" dataDxfId="65"/>
    <tableColumn id="6" xr3:uid="{71676037-992C-4A57-A32A-C26F63666F18}" name="CODIGO DE LOTE" dataDxfId="64"/>
    <tableColumn id="11" xr3:uid="{D00E48FE-8B53-44E2-A61B-9ABA1B8B7593}" name="ETAPA" dataDxfId="63"/>
    <tableColumn id="3" xr3:uid="{B0321528-0267-41B3-9AEC-8621E5518BF4}" name="Empresa" dataDxfId="62"/>
    <tableColumn id="7" xr3:uid="{DE9E0488-4897-4D82-8726-274A71BDB0A3}" name="Temp 01 (°C)" dataDxfId="61"/>
    <tableColumn id="8" xr3:uid="{39EE2A4D-7C97-4EC5-B5EC-4E60E9BB772E}" name="Temp 02 (°C)" dataDxfId="60"/>
    <tableColumn id="9" xr3:uid="{5E7CEF39-CB01-4029-B90E-EFA4F1C23863}" name="Temp 03 (°C)" dataDxfId="59"/>
    <tableColumn id="10" xr3:uid="{8966B669-DBA1-4A3A-8B9A-DD598117E7B9}" name="Promedio (°C)" dataDxfId="58">
      <calculatedColumnFormula>AVERAGE(Table4[[#This Row],[Temp 01 (°C)]:[Temp 03 (°C)]])</calculatedColumnFormula>
    </tableColumn>
    <tableColumn id="12" xr3:uid="{D7FA7FDE-6109-4C5D-A95A-4C51B7353232}" name="pH- 01" dataDxfId="57"/>
    <tableColumn id="13" xr3:uid="{D50726A9-DCEC-4FA1-9733-E07D57CA8B8B}" name="pH- 02" dataDxfId="56"/>
    <tableColumn id="14" xr3:uid="{0A9507DE-7BC9-47F6-881A-5E072A06A81A}" name="pH - 03" dataDxfId="55"/>
    <tableColumn id="15" xr3:uid="{EF878A85-AE7F-46D1-B508-924B239399F8}" name="Promedio (pH)" dataDxfId="54">
      <calculatedColumnFormula>AVERAGE(J2:L2)</calculatedColumnFormula>
    </tableColumn>
    <tableColumn id="18" xr3:uid="{F6B9015F-8DE0-497F-ADE2-10BDB60BA4F0}" name="Humedad (%)" dataDxfId="53"/>
    <tableColumn id="23" xr3:uid="{BB5F943D-3345-4689-8827-3AEF1439D848}" name="N° Volteo" dataDxfId="52"/>
    <tableColumn id="16" xr3:uid="{5894C94E-A044-49B1-A849-37637CEBD0B6}" name="Estado Humedad" dataDxfId="51">
      <calculatedColumnFormula>IF(I2&lt;_xlfn.XLOOKUP(D2,'HOJA 1. CONFIGURACION'!$C$2:$F$2,'HOJA 1. CONFIGURACION'!$C$5:$F$5),"BAJA",
IF(I2&gt;_xlfn.XLOOKUP(D2,'HOJA 1. CONFIGURACION'!$C$2:$F$2,'HOJA 1. CONFIGURACION'!$C$6:$F$6),"ALTA",
"CORRECTA"))</calculatedColumnFormula>
    </tableColumn>
    <tableColumn id="17" xr3:uid="{28F4C266-8129-4D1D-AC84-4A25DDDE298C}" name="Estado pH" dataDxfId="50">
      <calculatedColumnFormula>IF(M2&lt;_xlfn.XLOOKUP(D2,'HOJA 1. CONFIGURACION'!$C$2:$F$2,'HOJA 1. CONFIGURACION'!$C$7:$F$7),"BAJO",
IF(M2&gt;_xlfn.XLOOKUP(D2,'HOJA 1. CONFIGURACION'!$C$2:$F$2,'HOJA 1. CONFIGURACION'!$C$8:$F$8),"ALTO",
"CORRECTO"))</calculatedColumnFormula>
    </tableColumn>
    <tableColumn id="5" xr3:uid="{D49ECADB-B4BE-4EE8-B866-FFA3AD6D4053}" name="Estado temperatura " dataDxfId="49">
      <calculatedColumnFormula>IF(H2&lt;_xlfn.XLOOKUP(D2,'HOJA 1. CONFIGURACION'!$C$2:$F$2,'HOJA 1. CONFIGURACION'!$C$3:$F$3),"BAJA",
IF(H2&gt;_xlfn.XLOOKUP(D2,'HOJA 1. CONFIGURACION'!$C$2:$F$2,'HOJA 1. CONFIGURACION'!$C$4:$F$4),"ALTA",
"CORRECTA"))</calculatedColumnFormula>
    </tableColumn>
    <tableColumn id="4" xr3:uid="{191F42DC-73FD-4EC5-A727-5414A4D292FF}" name="Estado General " dataDxfId="1">
      <calculatedColumnFormula>IF(AND(O2="CORRECTA",P2="CORRECTA",Q2="CORRECTO"),
"OPERACIÓN NORMAL",
"REQUIERE AJUSTE OPERATIVO")</calculatedColumnFormula>
    </tableColumn>
    <tableColumn id="24" xr3:uid="{ABA9E6E6-1F79-472D-9924-9383975CF038}" name="Recomendaciones " dataDxfId="0">
      <calculatedColumnFormula>_xlfn.TEXTJOIN(" | ",TRUE,
IF(P2="","",IF(P2="CORRECTA","",_xlfn.XLOOKUP("HUMEDAD|"&amp;UPPER(TRIM(CLEAN(P2))),Table8[[CLAVE ]],Table8[Recomendación],"REGLA NO ENCONTRADA"))),
IF(Q2="","",IF(Q2="CORRECTO","",_xlfn.XLOOKUP("PH|"&amp;UPPER(TRIM(CLEAN(Q2))),Table8[[CLAVE ]],Table8[Recomendación],"REGLA NO ENCONTRADA"))),
IF(R2="","",IF(R2="CORRECTA","",_xlfn.XLOOKUP("TEMPERATURA|"&amp;UPPER(TRIM(CLEAN(R2))),Table8[[CLAVE ]],Table8[Recomendación],"REGLA NO ENCONTRADA")))
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5E1332-8DAF-4D2A-99EF-C7422B329FA3}" name="Table6" displayName="Table6" ref="A1:H12" totalsRowShown="0" headerRowDxfId="46">
  <autoFilter ref="A1:H12" xr:uid="{955E1332-8DAF-4D2A-99EF-C7422B329FA3}"/>
  <tableColumns count="8">
    <tableColumn id="1" xr3:uid="{E7FE6792-8B43-4899-B52F-2627A4341A7E}" name="Fecha " dataDxfId="44" totalsRowDxfId="45"/>
    <tableColumn id="5" xr3:uid="{F70F8369-9120-42A9-B954-777F2A74A8A5}" name="CODIGO DE LOTE"/>
    <tableColumn id="8" xr3:uid="{77A67502-A160-469F-B38C-7C18E311DE58}" name="Numero de ficha (peso)"/>
    <tableColumn id="2" xr3:uid="{9008020A-1342-4FFB-97C6-F89BF1A80E0E}" name="Compost ingresado a stock (ton)" dataDxfId="42" totalsRowDxfId="43"/>
    <tableColumn id="6" xr3:uid="{170E8184-900D-48D7-B10B-0548CCE8CEA6}" name="salida para remediacion (ton)" dataDxfId="40" totalsRowDxfId="41"/>
    <tableColumn id="7" xr3:uid="{F20A920A-7A51-4B06-8616-0565EDC2FE8B}" name="salida para donacion (ton)" dataDxfId="38" totalsRowDxfId="39"/>
    <tableColumn id="4" xr3:uid="{5984404F-2291-49B2-89BB-AB2D3AEC79CD}" name="Stock Acumulado (ton)" dataDxfId="37">
      <calculatedColumnFormula>IF(COUNTA(D2:F2)=0,"",G1+SUM(D2)-SUM(E2:F2))</calculatedColumnFormula>
    </tableColumn>
    <tableColumn id="3" xr3:uid="{45696D4F-0088-4698-8EFC-8C154E2B9198}" name="Estado del inventario">
      <calculatedColumnFormula>IF(G2&lt;=0,"SIN STOCK","DISPONIBLE")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31877C-6791-43C3-9B21-0395EBF0A6F1}" name="Table7" displayName="Table7" ref="A1:F2" totalsRowShown="0" headerRowDxfId="48">
  <tableColumns count="6">
    <tableColumn id="1" xr3:uid="{4E34FD5D-0C3F-41C7-98A8-CDD5E0E3E562}" name="Total de residuos ingresados a compostaje (ton)">
      <calculatedColumnFormula>SUM('HOJA 3. FORMULACION'!P:P)</calculatedColumnFormula>
    </tableColumn>
    <tableColumn id="2" xr3:uid="{531C9E5C-8E24-461B-B8DD-C839B101117E}" name="Residuos organicos valorizados (ton)"/>
    <tableColumn id="3" xr3:uid="{9FF7ED2C-12E5-4A92-A994-B7B56C9C6A24}" name="Compost  producido (ton)">
      <calculatedColumnFormula>SUM('HOJA 5. INVENTARIO (STOCK)'!D:D)</calculatedColumnFormula>
    </tableColumn>
    <tableColumn id="4" xr3:uid="{091A067F-FE01-4E03-8D0B-500B0BF31386}" name="Stock disponible  (ton)">
      <calculatedColumnFormula>LOOKUP(9.99999999999999E+307,'HOJA 5. INVENTARIO (STOCK)'!G:G)</calculatedColumnFormula>
    </tableColumn>
    <tableColumn id="6" xr3:uid="{5F9FF787-9AC7-4664-8276-A2CE73E6DC57}" name="Cumplimiento de registros (%)">
      <calculatedColumnFormula>COUNTA('HOJA 4-SEGUIMIENTO'!A:A)-1</calculatedColumnFormula>
    </tableColumn>
    <tableColumn id="7" xr3:uid="{BCFE6CF1-10EF-451F-A612-8818F93E3D2B}" name="numero de alertas ">
      <calculatedColumnFormula>COUNTIF('HOJA 4-SEGUIMIENTO'!S:S,"REQUIERE AJUSTE OPERATIVO")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477798-837B-4EBD-9B5E-244F15820825}" name="Table8" displayName="Table8" ref="A1:H16" insertRowShift="1" totalsRowShown="0">
  <autoFilter ref="A1:H16" xr:uid="{C8477798-837B-4EBD-9B5E-244F15820825}"/>
  <tableColumns count="8">
    <tableColumn id="1" xr3:uid="{58AF199E-CDFC-49F3-A3D5-C367344AC60A}" name="ID"/>
    <tableColumn id="4" xr3:uid="{F09A506E-85A0-4A6A-A7AF-59096D2E580F}" name="Modulo "/>
    <tableColumn id="6" xr3:uid="{B45A5482-87AA-4DF4-AAF7-54C6BF3E4A36}" name="Parametro"/>
    <tableColumn id="10" xr3:uid="{B4A0DAD7-2564-46B9-8390-834E3A25A0AD}" name="ESTADO EVALUADO"/>
    <tableColumn id="2" xr3:uid="{4476C04B-C12D-4B84-BC3F-3D10A3C082D6}" name="Condicion "/>
    <tableColumn id="3" xr3:uid="{1E763165-1025-4880-A643-11C80DAED571}" name="RESULTADO"/>
    <tableColumn id="8" xr3:uid="{EFDB2963-3E6A-4DB0-80D9-6A8C0FA6868B}" name="Recomendación"/>
    <tableColumn id="11" xr3:uid="{FB4556C0-23DC-4DF0-BD95-BF2D217B76D1}" name="CLAVE " dataDxfId="47">
      <calculatedColumnFormula>UPPER(TRIM(CLEAN(Table8[[#This Row],[Parametro]])))&amp;"|"&amp;UPPER(TRIM(CLEAN(Table8[[#This Row],[ESTADO EVALUADO]])))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E4C9-0208-4355-98B5-70ABA7AD9D62}">
  <dimension ref="A1:M30"/>
  <sheetViews>
    <sheetView workbookViewId="0">
      <selection activeCell="E14" sqref="E14"/>
    </sheetView>
  </sheetViews>
  <sheetFormatPr defaultRowHeight="14.5"/>
  <cols>
    <col min="1" max="1" width="20.36328125" customWidth="1"/>
    <col min="2" max="2" width="9.1796875" bestFit="1" customWidth="1"/>
    <col min="3" max="3" width="18.453125" bestFit="1" customWidth="1"/>
    <col min="4" max="4" width="13.1796875" customWidth="1"/>
    <col min="5" max="5" width="14.90625" customWidth="1"/>
    <col min="6" max="6" width="13" customWidth="1"/>
    <col min="7" max="7" width="18.453125" customWidth="1"/>
    <col min="9" max="9" width="18.6328125" customWidth="1"/>
    <col min="10" max="10" width="14.7265625" bestFit="1" customWidth="1"/>
    <col min="11" max="11" width="19.08984375" style="19" customWidth="1"/>
    <col min="13" max="13" width="30.1796875" bestFit="1" customWidth="1"/>
  </cols>
  <sheetData>
    <row r="1" spans="1:13">
      <c r="A1" s="48" t="s">
        <v>51</v>
      </c>
      <c r="B1" s="48"/>
      <c r="C1" s="48"/>
      <c r="D1" s="48"/>
      <c r="E1" s="48"/>
      <c r="F1" s="48"/>
      <c r="G1" s="48"/>
      <c r="I1" s="49"/>
      <c r="J1" s="49"/>
      <c r="K1" s="49"/>
      <c r="M1" s="2"/>
    </row>
    <row r="2" spans="1:13">
      <c r="A2" t="s">
        <v>35</v>
      </c>
      <c r="B2" t="s">
        <v>52</v>
      </c>
      <c r="C2" t="s">
        <v>69</v>
      </c>
      <c r="D2" t="s">
        <v>70</v>
      </c>
      <c r="E2" t="s">
        <v>71</v>
      </c>
      <c r="F2" t="s">
        <v>72</v>
      </c>
      <c r="G2" t="s">
        <v>44</v>
      </c>
      <c r="I2" s="13"/>
      <c r="J2" s="13"/>
      <c r="M2" s="2"/>
    </row>
    <row r="3" spans="1:13">
      <c r="A3" t="s">
        <v>36</v>
      </c>
      <c r="B3" s="1" t="s">
        <v>53</v>
      </c>
      <c r="C3" s="4">
        <v>40</v>
      </c>
      <c r="D3" s="4">
        <v>55</v>
      </c>
      <c r="E3" s="4">
        <v>40</v>
      </c>
      <c r="F3" s="4">
        <v>20</v>
      </c>
      <c r="G3" s="4"/>
      <c r="I3" s="23"/>
      <c r="J3" s="24"/>
      <c r="K3" s="20"/>
      <c r="M3" s="2"/>
    </row>
    <row r="4" spans="1:13">
      <c r="A4" t="s">
        <v>43</v>
      </c>
      <c r="B4" s="1" t="s">
        <v>53</v>
      </c>
      <c r="C4" s="4">
        <v>55</v>
      </c>
      <c r="D4" s="4">
        <v>65</v>
      </c>
      <c r="E4" s="4">
        <v>45</v>
      </c>
      <c r="F4" s="4">
        <v>30</v>
      </c>
      <c r="G4" s="4" t="s">
        <v>73</v>
      </c>
      <c r="I4" s="13"/>
      <c r="J4" s="24"/>
      <c r="M4" s="2"/>
    </row>
    <row r="5" spans="1:13">
      <c r="A5" t="s">
        <v>37</v>
      </c>
      <c r="B5" s="1" t="s">
        <v>54</v>
      </c>
      <c r="C5" s="22">
        <v>20</v>
      </c>
      <c r="D5" s="22">
        <v>45</v>
      </c>
      <c r="E5" s="22">
        <v>45</v>
      </c>
      <c r="F5" s="22">
        <v>30</v>
      </c>
      <c r="G5" s="4"/>
      <c r="I5" s="23"/>
      <c r="J5" s="13"/>
      <c r="M5" s="2"/>
    </row>
    <row r="6" spans="1:13">
      <c r="A6" t="s">
        <v>38</v>
      </c>
      <c r="B6" s="1" t="s">
        <v>54</v>
      </c>
      <c r="C6" s="22">
        <v>45</v>
      </c>
      <c r="D6" s="22">
        <v>55</v>
      </c>
      <c r="E6" s="22">
        <v>50</v>
      </c>
      <c r="F6" s="22">
        <v>40</v>
      </c>
      <c r="G6" s="4"/>
      <c r="I6" s="23"/>
      <c r="J6" s="13"/>
    </row>
    <row r="7" spans="1:13">
      <c r="A7" t="s">
        <v>39</v>
      </c>
      <c r="B7" s="1" t="s">
        <v>55</v>
      </c>
      <c r="C7" s="4">
        <v>5.5</v>
      </c>
      <c r="D7" s="4">
        <v>6</v>
      </c>
      <c r="E7" s="4">
        <v>6.5</v>
      </c>
      <c r="F7" s="4">
        <v>6.5</v>
      </c>
      <c r="G7" s="4"/>
      <c r="I7" s="23"/>
      <c r="J7" s="25"/>
    </row>
    <row r="8" spans="1:13">
      <c r="A8" t="s">
        <v>42</v>
      </c>
      <c r="B8" s="1" t="s">
        <v>55</v>
      </c>
      <c r="C8" s="4">
        <v>6.5</v>
      </c>
      <c r="D8" s="4">
        <v>8.5</v>
      </c>
      <c r="E8" s="4">
        <v>7.5</v>
      </c>
      <c r="F8" s="4">
        <v>7</v>
      </c>
      <c r="G8" s="4"/>
      <c r="I8" s="23"/>
      <c r="J8" s="25"/>
    </row>
    <row r="9" spans="1:13">
      <c r="A9" t="s">
        <v>40</v>
      </c>
      <c r="B9" s="1" t="s">
        <v>55</v>
      </c>
      <c r="C9" s="4">
        <v>25</v>
      </c>
      <c r="D9" s="4">
        <v>15</v>
      </c>
      <c r="E9" s="4">
        <v>15</v>
      </c>
      <c r="F9" s="18">
        <v>10</v>
      </c>
      <c r="G9" s="4"/>
      <c r="I9" s="23"/>
      <c r="J9" s="13"/>
    </row>
    <row r="10" spans="1:13">
      <c r="A10" t="s">
        <v>41</v>
      </c>
      <c r="B10" s="1" t="s">
        <v>55</v>
      </c>
      <c r="C10" s="4">
        <v>35</v>
      </c>
      <c r="D10" s="4">
        <v>20</v>
      </c>
      <c r="E10" s="4">
        <v>20</v>
      </c>
      <c r="F10" s="18">
        <v>15</v>
      </c>
      <c r="G10" s="4"/>
      <c r="I10" s="23"/>
      <c r="J10" s="13"/>
    </row>
    <row r="11" spans="1:13" ht="43.5">
      <c r="A11" s="31" t="s">
        <v>56</v>
      </c>
      <c r="B11" s="31" t="s">
        <v>55</v>
      </c>
      <c r="C11" s="32" t="s">
        <v>57</v>
      </c>
      <c r="D11" s="32" t="s">
        <v>58</v>
      </c>
      <c r="E11" s="32" t="s">
        <v>59</v>
      </c>
      <c r="F11" s="32" t="s">
        <v>60</v>
      </c>
      <c r="G11" s="32" t="s">
        <v>61</v>
      </c>
      <c r="I11" s="23"/>
      <c r="J11" s="13"/>
    </row>
    <row r="12" spans="1:13">
      <c r="I12" s="23"/>
      <c r="J12" s="26"/>
    </row>
    <row r="13" spans="1:13" ht="16.5">
      <c r="I13" s="27"/>
      <c r="J13" s="28"/>
      <c r="K13" s="21"/>
    </row>
    <row r="14" spans="1:13" ht="16.5">
      <c r="I14" s="27"/>
      <c r="J14" s="28"/>
      <c r="K14" s="21"/>
    </row>
    <row r="15" spans="1:13" ht="16.5">
      <c r="I15" s="27"/>
      <c r="J15" s="28"/>
      <c r="K15" s="21"/>
    </row>
    <row r="16" spans="1:13" ht="16.5">
      <c r="I16" s="27"/>
      <c r="J16" s="25"/>
      <c r="K16" s="21"/>
    </row>
    <row r="17" spans="9:11" ht="16.5">
      <c r="I17" s="27"/>
      <c r="J17" s="28"/>
      <c r="K17" s="21"/>
    </row>
    <row r="18" spans="9:11" ht="16.5">
      <c r="I18" s="27"/>
      <c r="J18" s="29"/>
    </row>
    <row r="19" spans="9:11" ht="16.5">
      <c r="I19" s="27"/>
      <c r="J19" s="28"/>
    </row>
    <row r="20" spans="9:11" ht="16.5">
      <c r="I20" s="27"/>
      <c r="J20" s="30"/>
    </row>
    <row r="21" spans="9:11" ht="16.5">
      <c r="I21" s="27"/>
      <c r="J21" s="29"/>
    </row>
    <row r="22" spans="9:11" ht="16.5">
      <c r="I22" s="27"/>
      <c r="J22" s="25"/>
    </row>
    <row r="23" spans="9:11" ht="16.5">
      <c r="I23" s="27"/>
      <c r="J23" s="27"/>
    </row>
    <row r="24" spans="9:11" ht="16.5">
      <c r="I24" s="27"/>
      <c r="J24" s="27"/>
    </row>
    <row r="25" spans="9:11" ht="16.5">
      <c r="I25" s="27"/>
      <c r="J25" s="27"/>
    </row>
    <row r="26" spans="9:11" ht="16.5">
      <c r="I26" s="27"/>
      <c r="J26" s="27"/>
    </row>
    <row r="27" spans="9:11" ht="16.5">
      <c r="I27" s="27"/>
      <c r="J27" s="27"/>
    </row>
    <row r="28" spans="9:11" ht="16.5">
      <c r="I28" s="27"/>
      <c r="J28" s="27"/>
    </row>
    <row r="29" spans="9:11" ht="16.5">
      <c r="I29" s="27"/>
      <c r="J29" s="27"/>
    </row>
    <row r="30" spans="9:11" ht="16.5">
      <c r="I30" s="27"/>
      <c r="J30" s="27"/>
    </row>
  </sheetData>
  <mergeCells count="2">
    <mergeCell ref="A1:G1"/>
    <mergeCell ref="I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E5C9-0647-428E-B35E-006F03DE298F}">
  <sheetPr>
    <tabColor rgb="FFFFFF00"/>
  </sheetPr>
  <dimension ref="A1:H14"/>
  <sheetViews>
    <sheetView workbookViewId="0">
      <selection activeCell="F2" sqref="F2"/>
    </sheetView>
  </sheetViews>
  <sheetFormatPr defaultRowHeight="14.5"/>
  <cols>
    <col min="1" max="1" width="28.7265625" bestFit="1" customWidth="1"/>
    <col min="2" max="2" width="18.1796875" bestFit="1" customWidth="1"/>
    <col min="3" max="3" width="14.453125" bestFit="1" customWidth="1"/>
    <col min="4" max="4" width="13.81640625" customWidth="1"/>
    <col min="5" max="5" width="14.36328125" bestFit="1" customWidth="1"/>
    <col min="6" max="6" width="18.08984375" bestFit="1" customWidth="1"/>
    <col min="7" max="7" width="18.1796875" bestFit="1" customWidth="1"/>
    <col min="8" max="8" width="110.36328125" bestFit="1" customWidth="1"/>
    <col min="9" max="9" width="45.1796875" bestFit="1" customWidth="1"/>
  </cols>
  <sheetData>
    <row r="1" spans="1:8">
      <c r="A1" t="s">
        <v>62</v>
      </c>
      <c r="B1" t="s">
        <v>67</v>
      </c>
      <c r="C1" t="s">
        <v>3</v>
      </c>
      <c r="D1" t="s">
        <v>2</v>
      </c>
      <c r="E1" t="s">
        <v>4</v>
      </c>
      <c r="F1" t="s">
        <v>5</v>
      </c>
      <c r="G1" s="2" t="s">
        <v>9</v>
      </c>
      <c r="H1" t="s">
        <v>6</v>
      </c>
    </row>
    <row r="2" spans="1:8" ht="16">
      <c r="A2" t="s">
        <v>0</v>
      </c>
      <c r="B2" t="s">
        <v>63</v>
      </c>
      <c r="C2" s="14">
        <v>80</v>
      </c>
      <c r="D2" s="14">
        <v>48</v>
      </c>
      <c r="E2" s="14">
        <v>3.2</v>
      </c>
      <c r="F2" s="53">
        <v>15</v>
      </c>
      <c r="G2" s="15">
        <v>650</v>
      </c>
      <c r="H2" t="s">
        <v>8</v>
      </c>
    </row>
    <row r="3" spans="1:8">
      <c r="A3" t="s">
        <v>1</v>
      </c>
      <c r="B3" t="s">
        <v>64</v>
      </c>
      <c r="C3" s="14">
        <v>40</v>
      </c>
      <c r="D3" s="14">
        <v>32</v>
      </c>
      <c r="E3" s="14">
        <v>3.5</v>
      </c>
      <c r="F3" s="53">
        <v>9</v>
      </c>
      <c r="G3" s="14">
        <v>900</v>
      </c>
      <c r="H3" t="s">
        <v>7</v>
      </c>
    </row>
    <row r="4" spans="1:8">
      <c r="A4" t="s">
        <v>66</v>
      </c>
      <c r="B4" t="s">
        <v>65</v>
      </c>
      <c r="C4" s="14">
        <v>0</v>
      </c>
      <c r="D4" s="14">
        <v>45</v>
      </c>
      <c r="E4" s="14">
        <v>0.11</v>
      </c>
      <c r="F4" s="53">
        <v>400</v>
      </c>
      <c r="G4" s="14">
        <v>100</v>
      </c>
      <c r="H4" t="s">
        <v>8</v>
      </c>
    </row>
    <row r="5" spans="1:8">
      <c r="A5" t="s">
        <v>47</v>
      </c>
      <c r="B5" t="s">
        <v>98</v>
      </c>
      <c r="C5" s="14">
        <v>15</v>
      </c>
      <c r="D5" s="17">
        <v>48.3</v>
      </c>
      <c r="E5" s="14">
        <v>3.26</v>
      </c>
      <c r="F5" s="52">
        <v>15</v>
      </c>
      <c r="G5" s="16">
        <v>550</v>
      </c>
      <c r="H5" s="2" t="s">
        <v>48</v>
      </c>
    </row>
    <row r="6" spans="1:8">
      <c r="G6" s="3"/>
    </row>
    <row r="7" spans="1:8">
      <c r="G7" s="3"/>
    </row>
    <row r="8" spans="1:8">
      <c r="H8" t="s">
        <v>80</v>
      </c>
    </row>
    <row r="9" spans="1:8">
      <c r="B9" t="s">
        <v>74</v>
      </c>
    </row>
    <row r="10" spans="1:8">
      <c r="F10" t="s">
        <v>78</v>
      </c>
    </row>
    <row r="14" spans="1:8">
      <c r="H14" t="s">
        <v>79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D473-6CB4-473B-B54C-0E5339BF8A5A}">
  <dimension ref="A1:W23"/>
  <sheetViews>
    <sheetView topLeftCell="C1" zoomScale="70" zoomScaleNormal="70" workbookViewId="0">
      <selection activeCell="K8" sqref="K8"/>
    </sheetView>
  </sheetViews>
  <sheetFormatPr defaultRowHeight="14.5"/>
  <cols>
    <col min="1" max="1" width="14.1796875" bestFit="1" customWidth="1"/>
    <col min="2" max="2" width="16.7265625" bestFit="1" customWidth="1"/>
    <col min="3" max="3" width="16.7265625" customWidth="1"/>
    <col min="4" max="4" width="25.36328125" bestFit="1" customWidth="1"/>
    <col min="5" max="5" width="25.36328125" customWidth="1"/>
    <col min="6" max="6" width="21" customWidth="1"/>
    <col min="7" max="7" width="24.453125" customWidth="1"/>
    <col min="8" max="8" width="56.7265625" hidden="1" customWidth="1"/>
    <col min="9" max="9" width="12.6328125" bestFit="1" customWidth="1"/>
    <col min="10" max="10" width="25.453125" bestFit="1" customWidth="1"/>
    <col min="11" max="11" width="25.453125" customWidth="1"/>
    <col min="12" max="12" width="56.7265625" bestFit="1" customWidth="1"/>
    <col min="13" max="13" width="27.81640625" bestFit="1" customWidth="1"/>
    <col min="14" max="14" width="22.1796875" customWidth="1"/>
    <col min="15" max="15" width="28.7265625" bestFit="1" customWidth="1"/>
    <col min="16" max="16" width="37.453125" bestFit="1" customWidth="1"/>
    <col min="17" max="17" width="64.54296875" hidden="1" customWidth="1"/>
    <col min="18" max="18" width="25.54296875" bestFit="1" customWidth="1"/>
    <col min="19" max="19" width="26.7265625" bestFit="1" customWidth="1"/>
    <col min="20" max="20" width="29.08984375" style="70" bestFit="1" customWidth="1"/>
    <col min="21" max="21" width="58.54296875" bestFit="1" customWidth="1"/>
    <col min="22" max="22" width="56.1796875" bestFit="1" customWidth="1"/>
    <col min="23" max="23" width="54.26953125" style="35" customWidth="1"/>
  </cols>
  <sheetData>
    <row r="1" spans="1:23" ht="18.5">
      <c r="A1" s="54" t="s">
        <v>108</v>
      </c>
      <c r="B1" s="54"/>
      <c r="C1" s="54"/>
      <c r="D1" s="54"/>
      <c r="E1" s="54"/>
      <c r="F1" s="54"/>
      <c r="G1" s="54"/>
      <c r="H1" s="54"/>
      <c r="I1" s="57"/>
      <c r="J1" s="57"/>
      <c r="K1" s="57"/>
      <c r="L1" s="46" t="s">
        <v>106</v>
      </c>
      <c r="M1" s="46"/>
      <c r="N1" s="46"/>
      <c r="O1" s="46"/>
      <c r="P1" s="46"/>
      <c r="Q1" s="47" t="s">
        <v>105</v>
      </c>
      <c r="R1" s="47"/>
      <c r="S1" s="47"/>
      <c r="T1" s="47"/>
    </row>
    <row r="2" spans="1:23" ht="43.5">
      <c r="A2" s="1" t="s">
        <v>10</v>
      </c>
      <c r="B2" s="1" t="s">
        <v>45</v>
      </c>
      <c r="C2" s="1" t="s">
        <v>49</v>
      </c>
      <c r="D2" s="4" t="s">
        <v>15</v>
      </c>
      <c r="E2" s="4" t="s">
        <v>16</v>
      </c>
      <c r="F2" s="4" t="s">
        <v>11</v>
      </c>
      <c r="G2" s="4" t="s">
        <v>17</v>
      </c>
      <c r="H2" s="1" t="s">
        <v>12</v>
      </c>
      <c r="I2" s="1" t="s">
        <v>193</v>
      </c>
      <c r="J2" s="1" t="s">
        <v>194</v>
      </c>
      <c r="K2" s="1" t="s">
        <v>214</v>
      </c>
      <c r="L2" s="39" t="s">
        <v>81</v>
      </c>
      <c r="M2" s="40" t="s">
        <v>82</v>
      </c>
      <c r="N2" s="40" t="s">
        <v>83</v>
      </c>
      <c r="O2" s="40" t="s">
        <v>84</v>
      </c>
      <c r="P2" s="41" t="s">
        <v>184</v>
      </c>
      <c r="Q2" s="33" t="s">
        <v>107</v>
      </c>
      <c r="R2" s="1" t="s">
        <v>134</v>
      </c>
      <c r="S2" s="1" t="s">
        <v>109</v>
      </c>
      <c r="T2" s="67" t="s">
        <v>110</v>
      </c>
      <c r="U2" s="1" t="s">
        <v>181</v>
      </c>
      <c r="V2" s="1" t="s">
        <v>182</v>
      </c>
      <c r="W2" s="4" t="s">
        <v>183</v>
      </c>
    </row>
    <row r="3" spans="1:23" ht="29">
      <c r="A3" s="5">
        <v>46030</v>
      </c>
      <c r="B3" s="5" t="s">
        <v>46</v>
      </c>
      <c r="C3" t="s">
        <v>32</v>
      </c>
      <c r="D3" s="1">
        <v>8</v>
      </c>
      <c r="E3" s="1">
        <v>4</v>
      </c>
      <c r="F3" s="1">
        <v>2</v>
      </c>
      <c r="G3" s="1">
        <v>10</v>
      </c>
      <c r="H3" t="s">
        <v>13</v>
      </c>
      <c r="I3" s="1">
        <f>SUM(Table211[[#This Row],[TONELADAS DE RESIDUOS ORGANICOS]:[TONELADAS DE CARTÓN ]])</f>
        <v>24</v>
      </c>
      <c r="J3">
        <f>SUMIFS($I$3:I3,$C$3:C3,C3)</f>
        <v>24</v>
      </c>
      <c r="K3" s="73" t="s">
        <v>215</v>
      </c>
      <c r="L3" s="1">
        <f>'Calculo progresivo por lote'!M3</f>
        <v>32.5</v>
      </c>
      <c r="M3" s="1">
        <f>'Calculo progresivo por lote'!N3</f>
        <v>45.025925925925932</v>
      </c>
      <c r="N3" s="1">
        <f>'Calculo progresivo por lote'!O3</f>
        <v>1.3274074074074076</v>
      </c>
      <c r="O3" s="1">
        <f>'Calculo progresivo por lote'!P3</f>
        <v>33.920200892857139</v>
      </c>
      <c r="P3" s="1">
        <f t="shared" ref="P3:P6" si="0">SUM(D3:G3)</f>
        <v>24</v>
      </c>
      <c r="Q3" s="4" t="str">
        <f t="shared" ref="Q3:Q6" si="1">IF(OR(R3="",S3=""),"",
IF(AND(R3="CORRECTA",S3="CORRECTO"),
"La formulación cumple los criterios iniciales para conformar la pila.",
IF(AND(R3="BAJA",S3="BAJO"),
"Ajustar la humedad e incrementar material rico en carbono antes de conformar la pila.",
IF(AND(R3="BAJA",S3="ALTO"),
"Ajustar la humedad e incrementar material con mayor aporte de nitrógeno.",
IF(AND(R3="ALTA",S3="BAJO"),
"Incrementar material seco y rico en carbono antes de conformar la pila.",
IF(AND(R3="ALTA",S3="ALTO"),
"Incrementar material seco y revisar el balance de nitrógeno de la mezcla.",
IF(R3="BAJA",
"Ajustar la humedad inicial antes de conformar la pila.",
IF(R3="ALTA",
"Incrementar material seco para reducir la humedad.",
IF(S3="BAJO",
"Incrementar material rico en carbono, como cartón.",
IF(S3="ALTO",
"Incrementar material con mayor aporte de nitrógeno.",
"Revisar la formulación."))))))))))</f>
        <v>La formulación cumple los criterios iniciales para conformar la pila.</v>
      </c>
      <c r="R3" s="42" t="str">
        <f>IF(L3&lt;'HOJA 1. CONFIGURACION'!$C$5,"BAJA",
IF(L3&gt;'HOJA 1. CONFIGURACION'!$C$6,"ALTA",
"CORRECTA"))</f>
        <v>CORRECTA</v>
      </c>
      <c r="S3" s="42" t="str">
        <f>IF(O3&lt;'HOJA 1. CONFIGURACION'!$C$9,"BAJO",
IF(O3&gt;'HOJA 1. CONFIGURACION'!$C$10,"ALTO",
"CORRECTO"))</f>
        <v>CORRECTO</v>
      </c>
      <c r="T3" s="68" t="str">
        <f t="shared" ref="T3:T8" si="2">IF(OR(R3="",S3=""),"",IF(AND(TRIM(R3)="CORRECTA",TRIM(S3)="CORRECTO"),"APROBADA","REFORMULAR"))</f>
        <v>APROBADA</v>
      </c>
      <c r="U3" s="64" t="str">
        <f>IF(R3="","",IF(R3="CORRECTA","",_xlfn.XLOOKUP("Humedad inicial|"&amp;TRIM(R3),Table8[[CLAVE ]],Table8[Recomendación],"REGLA NO ENCONTRADA")))</f>
        <v/>
      </c>
      <c r="V3" s="65" t="str">
        <f>IF(S3="","",IF(S3="CORRECTO","",_xlfn.XLOOKUP("Relacion C/N|"&amp;TRIM(S3),Table8[[CLAVE ]],Table8[Recomendación],"REGLA NO ENCONTRADA")))</f>
        <v/>
      </c>
      <c r="W3" s="63" t="str">
        <f t="shared" ref="W3:W6" si="3">IF(T3="","",IF(T3="APROBADA","La formulación cumple los parámetros establecidos para iniciar el compostaje.",_xlfn.TEXTJOIN(" | ",TRUE,U3,V3)))</f>
        <v>La formulación cumple los parámetros establecidos para iniciar el compostaje.</v>
      </c>
    </row>
    <row r="4" spans="1:23" ht="29">
      <c r="A4" s="5">
        <v>46061</v>
      </c>
      <c r="B4" s="5" t="s">
        <v>46</v>
      </c>
      <c r="C4" t="s">
        <v>32</v>
      </c>
      <c r="D4" s="1">
        <v>7</v>
      </c>
      <c r="E4" s="1">
        <v>5</v>
      </c>
      <c r="F4" s="1">
        <v>6</v>
      </c>
      <c r="G4" s="1">
        <v>12</v>
      </c>
      <c r="H4" t="s">
        <v>14</v>
      </c>
      <c r="I4" s="14">
        <f>SUM(Table211[[#This Row],[TONELADAS DE RESIDUOS ORGANICOS]:[TONELADAS DE CARTÓN ]])</f>
        <v>30</v>
      </c>
      <c r="J4">
        <f>SUMIFS($I$3:I4,$C$3:C4,C4)</f>
        <v>54</v>
      </c>
      <c r="K4" s="73" t="s">
        <v>215</v>
      </c>
      <c r="L4" s="1">
        <f>'Calculo progresivo por lote'!M4</f>
        <v>30.648148148148152</v>
      </c>
      <c r="M4" s="1">
        <f>'Calculo progresivo por lote'!N4</f>
        <v>44.248197596795727</v>
      </c>
      <c r="N4" s="1">
        <f>'Calculo progresivo por lote'!O4</f>
        <v>1.4354873164218955</v>
      </c>
      <c r="O4" s="1">
        <f>'Calculo progresivo por lote'!P4</f>
        <v>30.824513104782461</v>
      </c>
      <c r="P4" s="14">
        <f t="shared" si="0"/>
        <v>30</v>
      </c>
      <c r="Q4" t="str">
        <f t="shared" si="1"/>
        <v>La formulación cumple los criterios iniciales para conformar la pila.</v>
      </c>
      <c r="R4" s="42" t="str">
        <f>IF(L4&lt;'HOJA 1. CONFIGURACION'!$C$5,"BAJA",
IF(L4&gt;'HOJA 1. CONFIGURACION'!$C$6,"ALTA",
"CORRECTA"))</f>
        <v>CORRECTA</v>
      </c>
      <c r="S4" s="42" t="str">
        <f>IF(O4&lt;'HOJA 1. CONFIGURACION'!$C$9,"BAJO",
IF(O4&gt;'HOJA 1. CONFIGURACION'!$C$10,"ALTO",
"CORRECTO"))</f>
        <v>CORRECTO</v>
      </c>
      <c r="T4" s="68" t="str">
        <f t="shared" si="2"/>
        <v>APROBADA</v>
      </c>
      <c r="U4" s="64" t="str">
        <f>IF(R4="","",IF(R4="CORRECTA","",_xlfn.XLOOKUP("Humedad inicial|"&amp;TRIM(R4),Table8[[CLAVE ]],Table8[Recomendación],"REGLA NO ENCONTRADA")))</f>
        <v/>
      </c>
      <c r="V4" s="66" t="str">
        <f>IF(S4="","",IF(S4="CORRECTO","",_xlfn.XLOOKUP("Relacion C/N|"&amp;TRIM(S4),Table8[[CLAVE ]],Table8[Recomendación],"REGLA NO ENCONTRADA")))</f>
        <v/>
      </c>
      <c r="W4" s="63" t="str">
        <f t="shared" si="3"/>
        <v>La formulación cumple los parámetros establecidos para iniciar el compostaje.</v>
      </c>
    </row>
    <row r="5" spans="1:23" ht="29">
      <c r="A5" s="5">
        <v>46062</v>
      </c>
      <c r="B5" s="5" t="s">
        <v>46</v>
      </c>
      <c r="C5" t="s">
        <v>192</v>
      </c>
      <c r="D5" s="1">
        <v>6</v>
      </c>
      <c r="E5" s="1">
        <v>8</v>
      </c>
      <c r="F5" s="1">
        <v>7</v>
      </c>
      <c r="G5" s="1">
        <v>9</v>
      </c>
      <c r="I5" s="14">
        <f>SUM(Table211[[#This Row],[TONELADAS DE RESIDUOS ORGANICOS]:[TONELADAS DE CARTÓN ]])</f>
        <v>30</v>
      </c>
      <c r="J5">
        <f>SUMIFS($I$3:I5,$C$3:C5,C5)</f>
        <v>30</v>
      </c>
      <c r="K5" s="73" t="s">
        <v>215</v>
      </c>
      <c r="L5" s="1">
        <f>'Calculo progresivo por lote'!M5</f>
        <v>29.333333333333332</v>
      </c>
      <c r="M5" s="1">
        <f>'Calculo progresivo por lote'!N5</f>
        <v>43.652830188679246</v>
      </c>
      <c r="N5" s="1">
        <f>'Calculo progresivo por lote'!O5</f>
        <v>1.9668867924528304</v>
      </c>
      <c r="O5" s="1">
        <f>'Calculo progresivo por lote'!P5</f>
        <v>22.19387020960238</v>
      </c>
      <c r="P5" s="14">
        <f t="shared" si="0"/>
        <v>30</v>
      </c>
      <c r="Q5" t="str">
        <f t="shared" si="1"/>
        <v>Incrementar material rico en carbono, como cartón.</v>
      </c>
      <c r="R5" s="42" t="str">
        <f>IF(L5&lt;'HOJA 1. CONFIGURACION'!$C$5,"BAJA",
IF(L5&gt;'HOJA 1. CONFIGURACION'!$C$6,"ALTA",
"CORRECTA"))</f>
        <v>CORRECTA</v>
      </c>
      <c r="S5" s="42" t="str">
        <f>IF(O5&lt;'HOJA 1. CONFIGURACION'!$C$9,"BAJO",
IF(O5&gt;'HOJA 1. CONFIGURACION'!$C$10,"ALTO",
"CORRECTO"))</f>
        <v>BAJO</v>
      </c>
      <c r="T5" s="68" t="str">
        <f t="shared" si="2"/>
        <v>REFORMULAR</v>
      </c>
      <c r="U5" s="64" t="str">
        <f>IF(R5="","",IF(R5="CORRECTA","",_xlfn.XLOOKUP("Humedad inicial|"&amp;TRIM(R5),Table8[[CLAVE ]],Table8[Recomendación],"REGLA NO ENCONTRADA")))</f>
        <v/>
      </c>
      <c r="V5" s="66" t="str">
        <f>IF(S5="","",IF(S5="CORRECTO","",_xlfn.XLOOKUP("Relacion C/N|"&amp;TRIM(S5),Table8[[CLAVE ]],Table8[Recomendación],"REGLA NO ENCONTRADA")))</f>
        <v xml:space="preserve">Incrementar materiales ricos en carbono, como aserrin, podas, etc </v>
      </c>
      <c r="W5" s="63" t="str">
        <f t="shared" si="3"/>
        <v xml:space="preserve">Incrementar materiales ricos en carbono, como aserrin, podas, etc </v>
      </c>
    </row>
    <row r="6" spans="1:23" ht="29">
      <c r="A6" s="5">
        <v>46063</v>
      </c>
      <c r="B6" s="5" t="s">
        <v>46</v>
      </c>
      <c r="C6" s="71" t="s">
        <v>192</v>
      </c>
      <c r="D6" s="1"/>
      <c r="E6" s="1"/>
      <c r="F6" s="1"/>
      <c r="G6" s="1">
        <v>5</v>
      </c>
      <c r="I6" s="14">
        <f>SUM(Table211[[#This Row],[TONELADAS DE RESIDUOS ORGANICOS]:[TONELADAS DE CARTÓN ]])</f>
        <v>5</v>
      </c>
      <c r="J6">
        <f>SUMIFS($I$3:I8,$C$3:C8,C6)</f>
        <v>35</v>
      </c>
      <c r="K6" s="73" t="s">
        <v>215</v>
      </c>
      <c r="L6" s="1">
        <f>'Calculo progresivo por lote'!M6</f>
        <v>25.142857142857146</v>
      </c>
      <c r="M6" s="1">
        <f>'Calculo progresivo por lote'!N6</f>
        <v>43.90992366412214</v>
      </c>
      <c r="N6" s="1">
        <f>'Calculo progresivo por lote'!O6</f>
        <v>1.6125190839694659</v>
      </c>
      <c r="O6" s="1">
        <f>'Calculo progresivo por lote'!P6</f>
        <v>27.230638136716532</v>
      </c>
      <c r="P6" s="14">
        <f t="shared" si="0"/>
        <v>5</v>
      </c>
      <c r="Q6" t="str">
        <f t="shared" si="1"/>
        <v>La formulación cumple los criterios iniciales para conformar la pila.</v>
      </c>
      <c r="R6" s="42" t="str">
        <f>IF(L6&lt;'HOJA 1. CONFIGURACION'!$C$5,"BAJA",
IF(L6&gt;'HOJA 1. CONFIGURACION'!$C$6,"ALTA",
"CORRECTA"))</f>
        <v>CORRECTA</v>
      </c>
      <c r="S6" s="42" t="str">
        <f>IF(O6&lt;'HOJA 1. CONFIGURACION'!$C$9,"BAJO",
IF(O6&gt;'HOJA 1. CONFIGURACION'!$C$10,"ALTO",
"CORRECTO"))</f>
        <v>CORRECTO</v>
      </c>
      <c r="T6" s="68" t="str">
        <f t="shared" si="2"/>
        <v>APROBADA</v>
      </c>
      <c r="U6" s="64" t="str">
        <f>IF(R6="","",IF(R6="CORRECTA","",_xlfn.XLOOKUP("Humedad inicial|"&amp;TRIM(R6),Table8[[CLAVE ]],Table8[Recomendación],"REGLA NO ENCONTRADA")))</f>
        <v/>
      </c>
      <c r="V6" s="66" t="str">
        <f>IF(S6="","",IF(S6="CORRECTO","",_xlfn.XLOOKUP("Relacion C/N|"&amp;TRIM(S6),Table8[[CLAVE ]],Table8[Recomendación],"REGLA NO ENCONTRADA")))</f>
        <v/>
      </c>
      <c r="W6" s="63" t="str">
        <f t="shared" si="3"/>
        <v>La formulación cumple los parámetros establecidos para iniciar el compostaje.</v>
      </c>
    </row>
    <row r="7" spans="1:23" ht="29">
      <c r="A7" s="5">
        <v>46032</v>
      </c>
      <c r="B7" s="5" t="s">
        <v>46</v>
      </c>
      <c r="C7" s="72" t="s">
        <v>32</v>
      </c>
      <c r="D7" s="1">
        <v>12</v>
      </c>
      <c r="E7" s="1">
        <v>0</v>
      </c>
      <c r="F7" s="1">
        <v>3</v>
      </c>
      <c r="G7" s="1">
        <v>5</v>
      </c>
      <c r="I7" s="53">
        <f>SUM(Table211[[#This Row],[TONELADAS DE RESIDUOS ORGANICOS]:[TONELADAS DE CARTÓN ]])</f>
        <v>20</v>
      </c>
      <c r="J7" s="55">
        <f>SUMIFS($I$3:I8,$C$3:C8,C7)</f>
        <v>74</v>
      </c>
      <c r="K7" s="74" t="s">
        <v>215</v>
      </c>
      <c r="L7" s="1">
        <f>'Calculo progresivo por lote'!M7</f>
        <v>36.95945945945946</v>
      </c>
      <c r="M7" s="1">
        <f>'Calculo progresivo por lote'!N7</f>
        <v>44.049196141479094</v>
      </c>
      <c r="N7" s="1">
        <f>'Calculo progresivo por lote'!O7</f>
        <v>1.4638585209003212</v>
      </c>
      <c r="O7" s="1">
        <f>'Calculo progresivo por lote'!P7</f>
        <v>30.091156701664985</v>
      </c>
      <c r="P7" s="53">
        <f>SUM(D7:G7)</f>
        <v>20</v>
      </c>
      <c r="Q7" s="55" t="str">
        <f>IF(OR(R7="",S7=""),"",
IF(AND(R7="CORRECTA",S7="CORRECTO"),
"La formulación cumple los criterios iniciales para conformar la pila.",
IF(AND(R7="BAJA",S7="BAJO"),
"Ajustar la humedad e incrementar material rico en carbono antes de conformar la pila.",
IF(AND(R7="BAJA",S7="ALTO"),
"Ajustar la humedad e incrementar material con mayor aporte de nitrógeno.",
IF(AND(R7="ALTA",S7="BAJO"),
"Incrementar material seco y rico en carbono antes de conformar la pila.",
IF(AND(R7="ALTA",S7="ALTO"),
"Incrementar material seco y revisar el balance de nitrógeno de la mezcla.",
IF(R7="BAJA",
"Ajustar la humedad inicial antes de conformar la pila.",
IF(R7="ALTA",
"Incrementar material seco para reducir la humedad.",
IF(S7="BAJO",
"Incrementar material rico en carbono, como cartón.",
IF(S7="ALTO",
"Incrementar material con mayor aporte de nitrógeno.",
"Revisar la formulación."))))))))))</f>
        <v>La formulación cumple los criterios iniciales para conformar la pila.</v>
      </c>
      <c r="R7" s="42" t="str">
        <f>IF(L7&lt;'HOJA 1. CONFIGURACION'!$C$5,"BAJA",
IF(L7&gt;'HOJA 1. CONFIGURACION'!$C$6,"ALTA",
"CORRECTA"))</f>
        <v>CORRECTA</v>
      </c>
      <c r="S7" s="42" t="str">
        <f>IF(O7&lt;'HOJA 1. CONFIGURACION'!$C$9,"BAJO",
IF(O7&gt;'HOJA 1. CONFIGURACION'!$C$10,"ALTO",
"CORRECTO"))</f>
        <v>CORRECTO</v>
      </c>
      <c r="T7" s="68" t="str">
        <f t="shared" si="2"/>
        <v>APROBADA</v>
      </c>
      <c r="U7" s="64" t="str">
        <f>IF(R7="","",IF(R7="CORRECTA","",_xlfn.XLOOKUP("Humedad inicial|"&amp;TRIM(R7),Table8[[CLAVE ]],Table8[Recomendación],"REGLA NO ENCONTRADA")))</f>
        <v/>
      </c>
      <c r="V7" s="66" t="str">
        <f>IF(S7="","",IF(S7="CORRECTO","",_xlfn.XLOOKUP("Relacion C/N|"&amp;TRIM(S7),Table8[[CLAVE ]],Table8[Recomendación],"REGLA NO ENCONTRADA")))</f>
        <v/>
      </c>
      <c r="W7" s="63" t="str">
        <f>IF(T7="","",IF(T7="APROBADA","La formulación cumple los parámetros establecidos para iniciar el compostaje.",_xlfn.TEXTJOIN(" | ",TRUE,U7,V7)))</f>
        <v>La formulación cumple los parámetros establecidos para iniciar el compostaje.</v>
      </c>
    </row>
    <row r="8" spans="1:23" ht="43.5">
      <c r="A8" s="72"/>
      <c r="B8" s="72"/>
      <c r="C8" s="72"/>
      <c r="D8" s="1"/>
      <c r="E8" s="1"/>
      <c r="F8" s="1"/>
      <c r="G8" s="1"/>
      <c r="I8" s="53">
        <f>SUM(Table211[[#This Row],[TONELADAS DE RESIDUOS ORGANICOS]:[TONELADAS DE CARTÓN ]])</f>
        <v>0</v>
      </c>
      <c r="J8" s="55">
        <f>SUMIFS($I$3:I8,$C$3:C8,C8)</f>
        <v>0</v>
      </c>
      <c r="K8" s="74"/>
      <c r="L8" s="1" t="str">
        <f>'Calculo progresivo por lote'!M8</f>
        <v/>
      </c>
      <c r="M8" s="1" t="str">
        <f>'Calculo progresivo por lote'!N8</f>
        <v/>
      </c>
      <c r="N8" s="1" t="str">
        <f>'Calculo progresivo por lote'!O8</f>
        <v/>
      </c>
      <c r="O8" s="1" t="str">
        <f>'Calculo progresivo por lote'!O8</f>
        <v/>
      </c>
      <c r="P8" s="53">
        <f>SUM(D8:G8)</f>
        <v>0</v>
      </c>
      <c r="Q8" s="55" t="str">
        <f>IF(OR(R8="",S8=""),"",
IF(AND(R8="CORRECTA",S8="CORRECTO"),
"La formulación cumple los criterios iniciales para conformar la pila.",
IF(AND(R8="BAJA",S8="BAJO"),
"Ajustar la humedad e incrementar material rico en carbono antes de conformar la pila.",
IF(AND(R8="BAJA",S8="ALTO"),
"Ajustar la humedad e incrementar material con mayor aporte de nitrógeno.",
IF(AND(R8="ALTA",S8="BAJO"),
"Incrementar material seco y rico en carbono antes de conformar la pila.",
IF(AND(R8="ALTA",S8="ALTO"),
"Incrementar material seco y revisar el balance de nitrógeno de la mezcla.",
IF(R8="BAJA",
"Ajustar la humedad inicial antes de conformar la pila.",
IF(R8="ALTA",
"Incrementar material seco para reducir la humedad.",
IF(S8="BAJO",
"Incrementar material rico en carbono, como cartón.",
IF(S8="ALTO",
"Incrementar material con mayor aporte de nitrógeno.",
"Revisar la formulación."))))))))))</f>
        <v>Incrementar material seco y revisar el balance de nitrógeno de la mezcla.</v>
      </c>
      <c r="R8" s="42" t="str">
        <f>IF(L8&lt;'HOJA 1. CONFIGURACION'!$C$5,"BAJA",
IF(L8&gt;'HOJA 1. CONFIGURACION'!$C$6,"ALTA",
"CORRECTA"))</f>
        <v>ALTA</v>
      </c>
      <c r="S8" s="42" t="str">
        <f>IF(O8&lt;'HOJA 1. CONFIGURACION'!$C$9,"BAJO",
IF(O8&gt;'HOJA 1. CONFIGURACION'!$C$10,"ALTO",
"CORRECTO"))</f>
        <v>ALTO</v>
      </c>
      <c r="T8" s="68" t="str">
        <f t="shared" si="2"/>
        <v>REFORMULAR</v>
      </c>
      <c r="U8" s="64" t="str">
        <f>IF(R8="","",IF(R8="CORRECTA","",_xlfn.XLOOKUP("Humedad inicial|"&amp;TRIM(R8),Table8[[CLAVE ]],Table8[Recomendación],"REGLA NO ENCONTRADA")))</f>
        <v xml:space="preserve">Incrementar el material estructurante para reducir la humedad de la mezcla </v>
      </c>
      <c r="V8" s="66" t="str">
        <f>IF(S8="","",IF(S8="CORRECTO","",_xlfn.XLOOKUP("Relacion C/N|"&amp;TRIM(S8),Table8[[CLAVE ]],Table8[Recomendación],"REGLA NO ENCONTRADA")))</f>
        <v xml:space="preserve">incrementar materiales con mayor contenido de nitrogeno </v>
      </c>
      <c r="W8" s="63" t="str">
        <f>IF(T8="","",IF(T8="APROBADA","La formulación cumple los parámetros establecidos para iniciar el compostaje.",_xlfn.TEXTJOIN(" | ",TRUE,U8,V8)))</f>
        <v xml:space="preserve">Incrementar el material estructurante para reducir la humedad de la mezcla  | incrementar materiales con mayor contenido de nitrogeno </v>
      </c>
    </row>
    <row r="9" spans="1:23">
      <c r="T9" s="69"/>
      <c r="U9">
        <f>COUNTIF(Table8[[CLAVE ]],"HUMEDAD INICIAL|"&amp;UPPER(TRIM(R3)))</f>
        <v>1</v>
      </c>
    </row>
    <row r="10" spans="1:23">
      <c r="D10" t="s">
        <v>77</v>
      </c>
      <c r="T10" s="69"/>
    </row>
    <row r="18" spans="12:14">
      <c r="N18" t="s">
        <v>75</v>
      </c>
    </row>
    <row r="23" spans="12:14">
      <c r="L23" t="s">
        <v>76</v>
      </c>
    </row>
  </sheetData>
  <mergeCells count="3">
    <mergeCell ref="A1:H1"/>
    <mergeCell ref="L1:P1"/>
    <mergeCell ref="Q1:T1"/>
  </mergeCells>
  <phoneticPr fontId="15" type="noConversion"/>
  <conditionalFormatting sqref="R3:S8">
    <cfRule type="cellIs" dxfId="12" priority="1" operator="equal">
      <formula>"CORRECTA"</formula>
    </cfRule>
    <cfRule type="cellIs" dxfId="11" priority="2" operator="equal">
      <formula>"ALTO"</formula>
    </cfRule>
    <cfRule type="cellIs" dxfId="10" priority="3" operator="equal">
      <formula>"ALTA"</formula>
    </cfRule>
    <cfRule type="cellIs" dxfId="9" priority="4" operator="equal">
      <formula>"BAJO"</formula>
    </cfRule>
    <cfRule type="cellIs" dxfId="8" priority="5" operator="equal">
      <formula>"BAJA"</formula>
    </cfRule>
    <cfRule type="cellIs" dxfId="7" priority="8" operator="equal">
      <formula>"CORRECTO"</formula>
    </cfRule>
  </conditionalFormatting>
  <conditionalFormatting sqref="T3:T8">
    <cfRule type="containsText" dxfId="6" priority="6" operator="containsText" text="APROBADA CON OBSERVACIONES">
      <formula>NOT(ISERROR(SEARCH("APROBADA CON OBSERVACIONES",T3)))</formula>
    </cfRule>
    <cfRule type="cellIs" dxfId="5" priority="9" operator="equal">
      <formula>"REFORMULAR"</formula>
    </cfRule>
  </conditionalFormatting>
  <dataValidations count="1">
    <dataValidation type="list" allowBlank="1" showInputMessage="1" showErrorMessage="1" sqref="K3" xr:uid="{B1258D49-278F-48A9-AF20-217FBEF2E560}">
      <formula1>"EN ALIMENTACION, LOTE CERRADO"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1974-E493-40FF-8C17-618957632CE7}">
  <dimension ref="A1:I12"/>
  <sheetViews>
    <sheetView workbookViewId="0">
      <selection sqref="A1:D1"/>
    </sheetView>
  </sheetViews>
  <sheetFormatPr defaultRowHeight="14.5"/>
  <cols>
    <col min="1" max="1" width="9.36328125" bestFit="1" customWidth="1"/>
    <col min="2" max="2" width="18.36328125" customWidth="1"/>
    <col min="3" max="3" width="13.81640625" customWidth="1"/>
    <col min="4" max="4" width="15.7265625" customWidth="1"/>
    <col min="5" max="5" width="12.90625" customWidth="1"/>
    <col min="6" max="6" width="14" customWidth="1"/>
    <col min="7" max="7" width="13.90625" customWidth="1"/>
    <col min="8" max="8" width="15" customWidth="1"/>
    <col min="9" max="9" width="11.54296875" bestFit="1" customWidth="1"/>
  </cols>
  <sheetData>
    <row r="1" spans="1:9">
      <c r="A1" t="s">
        <v>93</v>
      </c>
      <c r="B1" t="s">
        <v>94</v>
      </c>
      <c r="C1" t="s">
        <v>3</v>
      </c>
      <c r="D1" t="s">
        <v>95</v>
      </c>
      <c r="E1" t="s">
        <v>2</v>
      </c>
      <c r="F1" t="s">
        <v>96</v>
      </c>
      <c r="G1" t="s">
        <v>4</v>
      </c>
      <c r="H1" t="s">
        <v>97</v>
      </c>
      <c r="I1" t="s">
        <v>100</v>
      </c>
    </row>
    <row r="2" spans="1:9">
      <c r="A2" t="s">
        <v>63</v>
      </c>
      <c r="B2" s="1">
        <f>'HOJA 3. FORMULACION'!D3</f>
        <v>8</v>
      </c>
      <c r="C2" s="1">
        <f>_xlfn.XLOOKUP(A2,'HOJA 2. INSUMOS'!$B$2:$B$5,'HOJA 2. INSUMOS'!$C$2:$C$5)</f>
        <v>80</v>
      </c>
      <c r="D2" s="1">
        <f t="shared" ref="D2:D5" si="0">B2*(1-C2/100)</f>
        <v>1.5999999999999996</v>
      </c>
      <c r="E2" s="1">
        <f>_xlfn.XLOOKUP(A2,'HOJA 2. INSUMOS'!$B$2:$B$5,'HOJA 2. INSUMOS'!$D$2:$D$5)</f>
        <v>48</v>
      </c>
      <c r="F2" s="1">
        <f>D2*(E2/100)</f>
        <v>0.76799999999999979</v>
      </c>
      <c r="G2" s="1">
        <f>_xlfn.XLOOKUP(A2,'HOJA 2. INSUMOS'!$B$2:$B$5,'HOJA 2. INSUMOS'!$E$2:$E$5)</f>
        <v>3.2</v>
      </c>
      <c r="H2" s="1">
        <f>D2*(G2/100)</f>
        <v>5.1199999999999989E-2</v>
      </c>
      <c r="I2" s="1">
        <f>B2-D2</f>
        <v>6.4</v>
      </c>
    </row>
    <row r="3" spans="1:9">
      <c r="A3" t="s">
        <v>98</v>
      </c>
      <c r="B3" s="1">
        <f>'HOJA 3. FORMULACION'!E3</f>
        <v>4</v>
      </c>
      <c r="C3" s="1">
        <f>_xlfn.XLOOKUP(A3,'HOJA 2. INSUMOS'!$B$2:$B$5,'HOJA 2. INSUMOS'!$C$2:$C$5)</f>
        <v>15</v>
      </c>
      <c r="D3" s="10">
        <f>B3*(1-C3/100)</f>
        <v>3.4</v>
      </c>
      <c r="E3" s="1">
        <f>_xlfn.XLOOKUP(A3,'HOJA 2. INSUMOS'!$B$2:$B$5,'HOJA 2. INSUMOS'!$D$2:$D$5)</f>
        <v>48.3</v>
      </c>
      <c r="F3" s="43">
        <f>D3*(E3/100)</f>
        <v>1.6421999999999999</v>
      </c>
      <c r="G3" s="1">
        <f>_xlfn.XLOOKUP(A3,'HOJA 2. INSUMOS'!$B$2:$B$5,'HOJA 2. INSUMOS'!$E$2:$E$5)</f>
        <v>3.26</v>
      </c>
      <c r="H3" s="10">
        <f t="shared" ref="H3:H5" si="1">D3*(G3/100)</f>
        <v>0.11083999999999998</v>
      </c>
      <c r="I3" s="10">
        <f t="shared" ref="I3:I5" si="2">B3-D3</f>
        <v>0.60000000000000009</v>
      </c>
    </row>
    <row r="4" spans="1:9">
      <c r="A4" t="s">
        <v>64</v>
      </c>
      <c r="B4" s="1">
        <f>'HOJA 3. FORMULACION'!F3</f>
        <v>2</v>
      </c>
      <c r="C4" s="1">
        <f>_xlfn.XLOOKUP(A4,'HOJA 2. INSUMOS'!$B$2:$B$5,'HOJA 2. INSUMOS'!$C$2:$C$5)</f>
        <v>40</v>
      </c>
      <c r="D4" s="1">
        <f t="shared" si="0"/>
        <v>1.2</v>
      </c>
      <c r="E4" s="1">
        <f>_xlfn.XLOOKUP(A4,'HOJA 2. INSUMOS'!$B$2:$B$5,'HOJA 2. INSUMOS'!$D$2:$D$5)</f>
        <v>32</v>
      </c>
      <c r="F4" s="1">
        <f t="shared" ref="F4:F5" si="3">D4*(E4/100)</f>
        <v>0.38400000000000001</v>
      </c>
      <c r="G4" s="1">
        <f>_xlfn.XLOOKUP(A4,'HOJA 2. INSUMOS'!$B$2:$B$5,'HOJA 2. INSUMOS'!$E$2:$E$5)</f>
        <v>3.5</v>
      </c>
      <c r="H4" s="1">
        <f t="shared" si="1"/>
        <v>4.2000000000000003E-2</v>
      </c>
      <c r="I4" s="1">
        <f t="shared" si="2"/>
        <v>0.8</v>
      </c>
    </row>
    <row r="5" spans="1:9">
      <c r="A5" t="s">
        <v>65</v>
      </c>
      <c r="B5" s="1">
        <f>'HOJA 3. FORMULACION'!G3</f>
        <v>10</v>
      </c>
      <c r="C5" s="1">
        <f>_xlfn.XLOOKUP(A5,'HOJA 2. INSUMOS'!$B$2:$B$5,'HOJA 2. INSUMOS'!$C$2:$C$5)</f>
        <v>0</v>
      </c>
      <c r="D5" s="1">
        <f t="shared" si="0"/>
        <v>10</v>
      </c>
      <c r="E5" s="1">
        <f>_xlfn.XLOOKUP(A5,'HOJA 2. INSUMOS'!$B$2:$B$5,'HOJA 2. INSUMOS'!$D$2:$D$5)</f>
        <v>45</v>
      </c>
      <c r="F5" s="1">
        <f t="shared" si="3"/>
        <v>4.5</v>
      </c>
      <c r="G5" s="1">
        <f>_xlfn.XLOOKUP(A5,'HOJA 2. INSUMOS'!$B$2:$B$5,'HOJA 2. INSUMOS'!$E$2:$E$5)</f>
        <v>0.11</v>
      </c>
      <c r="H5" s="1">
        <f t="shared" si="1"/>
        <v>1.1000000000000001E-2</v>
      </c>
      <c r="I5" s="1">
        <f t="shared" si="2"/>
        <v>0</v>
      </c>
    </row>
    <row r="6" spans="1:9">
      <c r="A6" s="36" t="s">
        <v>99</v>
      </c>
      <c r="B6" s="37">
        <f>SUM(B2:B5)</f>
        <v>24</v>
      </c>
      <c r="C6" s="37"/>
      <c r="D6" s="37">
        <f t="shared" ref="D6:I6" si="4">SUM(D2:D5)</f>
        <v>16.2</v>
      </c>
      <c r="E6" s="37"/>
      <c r="F6" s="37">
        <f t="shared" si="4"/>
        <v>7.2942</v>
      </c>
      <c r="G6" s="37"/>
      <c r="H6" s="37">
        <f t="shared" si="4"/>
        <v>0.21503999999999998</v>
      </c>
      <c r="I6" s="37">
        <f t="shared" si="4"/>
        <v>7.8</v>
      </c>
    </row>
    <row r="8" spans="1:9">
      <c r="B8" s="51" t="s">
        <v>176</v>
      </c>
      <c r="C8" s="51"/>
      <c r="D8" s="51"/>
    </row>
    <row r="9" spans="1:9">
      <c r="B9" s="50" t="s">
        <v>68</v>
      </c>
      <c r="C9" s="50"/>
      <c r="D9" s="8">
        <f>IFERROR(I6/B6*100,0)</f>
        <v>32.5</v>
      </c>
      <c r="E9" s="38"/>
    </row>
    <row r="10" spans="1:9">
      <c r="B10" s="50" t="s">
        <v>102</v>
      </c>
      <c r="C10" s="50"/>
      <c r="D10" s="8">
        <f>IFERROR(F6/D6*100,0)</f>
        <v>45.025925925925932</v>
      </c>
    </row>
    <row r="11" spans="1:9">
      <c r="B11" s="50" t="s">
        <v>103</v>
      </c>
      <c r="C11" s="50"/>
      <c r="D11" s="8">
        <f>IFERROR(H6/D6*100,0)</f>
        <v>1.3274074074074074</v>
      </c>
    </row>
    <row r="12" spans="1:9">
      <c r="B12" s="50" t="s">
        <v>104</v>
      </c>
      <c r="C12" s="50"/>
      <c r="D12" s="8">
        <f>IFERROR(F6/H6,0)</f>
        <v>33.920200892857146</v>
      </c>
    </row>
  </sheetData>
  <mergeCells count="5">
    <mergeCell ref="B9:C9"/>
    <mergeCell ref="B10:C10"/>
    <mergeCell ref="B11:C11"/>
    <mergeCell ref="B12:C12"/>
    <mergeCell ref="B8:D8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DB0F-8808-45FA-82FF-80BFB093FCA2}">
  <dimension ref="A1:P8"/>
  <sheetViews>
    <sheetView tabSelected="1" topLeftCell="C1" zoomScale="95" zoomScaleNormal="95" workbookViewId="0">
      <selection activeCell="J15" sqref="J15"/>
    </sheetView>
  </sheetViews>
  <sheetFormatPr defaultRowHeight="14.5"/>
  <cols>
    <col min="1" max="1" width="12.08984375" customWidth="1"/>
    <col min="2" max="2" width="14.36328125" customWidth="1"/>
    <col min="3" max="3" width="14.1796875" customWidth="1"/>
    <col min="4" max="4" width="10.54296875" customWidth="1"/>
    <col min="5" max="5" width="15" customWidth="1"/>
    <col min="6" max="6" width="13.36328125" customWidth="1"/>
    <col min="7" max="7" width="14.26953125" customWidth="1"/>
    <col min="8" max="8" width="19.36328125" customWidth="1"/>
    <col min="9" max="9" width="18.90625" customWidth="1"/>
    <col min="10" max="10" width="16.81640625" customWidth="1"/>
    <col min="11" max="11" width="18.81640625" customWidth="1"/>
    <col min="12" max="12" width="19.81640625" customWidth="1"/>
    <col min="13" max="13" width="14.81640625" customWidth="1"/>
    <col min="14" max="14" width="20.6328125" customWidth="1"/>
    <col min="15" max="15" width="22.08984375" customWidth="1"/>
    <col min="16" max="16" width="16.26953125" customWidth="1"/>
  </cols>
  <sheetData>
    <row r="1" spans="1:16" ht="18.5">
      <c r="A1" s="47" t="s">
        <v>213</v>
      </c>
      <c r="B1" s="47"/>
      <c r="C1" s="62" t="s">
        <v>210</v>
      </c>
      <c r="D1" s="62"/>
      <c r="E1" s="62"/>
      <c r="F1" s="62"/>
      <c r="G1" s="62"/>
      <c r="H1" s="61" t="s">
        <v>211</v>
      </c>
      <c r="I1" s="61"/>
      <c r="J1" s="61"/>
      <c r="K1" s="61"/>
      <c r="L1" s="61"/>
      <c r="M1" s="47" t="s">
        <v>212</v>
      </c>
      <c r="N1" s="47"/>
      <c r="O1" s="47"/>
      <c r="P1" s="47"/>
    </row>
    <row r="2" spans="1:16" s="59" customFormat="1" ht="39">
      <c r="A2" s="58" t="s">
        <v>33</v>
      </c>
      <c r="B2" s="58" t="s">
        <v>207</v>
      </c>
      <c r="C2" s="58" t="s">
        <v>208</v>
      </c>
      <c r="D2" s="58" t="s">
        <v>195</v>
      </c>
      <c r="E2" s="58" t="s">
        <v>196</v>
      </c>
      <c r="F2" s="58" t="s">
        <v>197</v>
      </c>
      <c r="G2" s="58" t="s">
        <v>198</v>
      </c>
      <c r="H2" s="58" t="s">
        <v>199</v>
      </c>
      <c r="I2" s="58" t="s">
        <v>200</v>
      </c>
      <c r="J2" s="58" t="s">
        <v>209</v>
      </c>
      <c r="K2" s="58" t="s">
        <v>201</v>
      </c>
      <c r="L2" s="58" t="s">
        <v>202</v>
      </c>
      <c r="M2" s="60" t="s">
        <v>203</v>
      </c>
      <c r="N2" s="60" t="s">
        <v>204</v>
      </c>
      <c r="O2" s="60" t="s">
        <v>205</v>
      </c>
      <c r="P2" s="60" t="s">
        <v>206</v>
      </c>
    </row>
    <row r="3" spans="1:16">
      <c r="A3" s="5">
        <f>'HOJA 3. FORMULACION'!A3</f>
        <v>46030</v>
      </c>
      <c r="B3" t="str">
        <f>'HOJA 3. FORMULACION'!C3</f>
        <v>CMP-001-2026</v>
      </c>
      <c r="C3">
        <f>'HOJA 3. FORMULACION'!I3</f>
        <v>24</v>
      </c>
      <c r="D3">
        <f>IF(B3="","",
'HOJA 3. FORMULACION'!D3*'HOJA 2. INSUMOS'!$C$2/100+
'HOJA 3. FORMULACION'!E3*'HOJA 2. INSUMOS'!$C$5/100+
'HOJA 3. FORMULACION'!F3*'HOJA 2. INSUMOS'!$C$3/100+
'HOJA 3. FORMULACION'!G3*'HOJA 2. INSUMOS'!$C$4/100)</f>
        <v>7.8</v>
      </c>
      <c r="E3">
        <f t="shared" ref="E3:E8" si="0">IF(B3="","",C3-D3)</f>
        <v>16.2</v>
      </c>
      <c r="F3">
        <f>IF(B3="","",
'HOJA 3. FORMULACION'!D3*(1-'HOJA 2. INSUMOS'!$C$2/100)*'HOJA 2. INSUMOS'!$D$2/100+
'HOJA 3. FORMULACION'!E3*(1-'HOJA 2. INSUMOS'!$C$5/100)*'HOJA 2. INSUMOS'!$D$5/100+
'HOJA 3. FORMULACION'!F3*(1-'HOJA 2. INSUMOS'!$C$3/100)*'HOJA 2. INSUMOS'!$D$3/100+
'HOJA 3. FORMULACION'!G3*(1-'HOJA 2. INSUMOS'!$C$4/100)*'HOJA 2. INSUMOS'!$D$4/100)</f>
        <v>7.2942</v>
      </c>
      <c r="G3">
        <f>IF(B3="","",
'HOJA 3. FORMULACION'!D3*(1-'HOJA 2. INSUMOS'!$C$2/100)*'HOJA 2. INSUMOS'!$E$2/100+
'HOJA 3. FORMULACION'!E3*(1-'HOJA 2. INSUMOS'!$C$5/100)*'HOJA 2. INSUMOS'!$E$5/100+
'HOJA 3. FORMULACION'!F3*(1-'HOJA 2. INSUMOS'!$C$3/100)*'HOJA 2. INSUMOS'!$E$3/100+
'HOJA 3. FORMULACION'!G3*(1-'HOJA 2. INSUMOS'!$C$4/100)*'HOJA 2. INSUMOS'!$E$4/100)</f>
        <v>0.21504000000000001</v>
      </c>
      <c r="H3">
        <f>IF(B3="","",SUMIFS($C$3:C3,$B$3:B3,B3))</f>
        <v>24</v>
      </c>
      <c r="I3">
        <f>IF(B3="","",SUMIFS($D$3:D3,$B$3:B3,B3))</f>
        <v>7.8</v>
      </c>
      <c r="J3">
        <f>IF(B3="","",SUMIFS($E$3:E3,$B$3:B3,B3))</f>
        <v>16.2</v>
      </c>
      <c r="K3">
        <f>IF(B3="","",SUMIFS($F$3:F3,$B$3:B3,B3))</f>
        <v>7.2942</v>
      </c>
      <c r="L3">
        <f>IF(B3="","",SUMIFS($G$3:G3,$B$3:B3,B3))</f>
        <v>0.21504000000000001</v>
      </c>
      <c r="M3">
        <f t="shared" ref="M3:M8" si="1">IF(H3=0,"",I3/H3*100)</f>
        <v>32.5</v>
      </c>
      <c r="N3">
        <f t="shared" ref="N3:N8" si="2">IF(J3=0,"",K3/J3*100)</f>
        <v>45.025925925925932</v>
      </c>
      <c r="O3">
        <f t="shared" ref="O3:O8" si="3">IF(J3=0,"",L3/J3*100)</f>
        <v>1.3274074074074076</v>
      </c>
      <c r="P3">
        <f t="shared" ref="P3:P8" si="4">IF(L3=0,"",K3/L3)</f>
        <v>33.920200892857139</v>
      </c>
    </row>
    <row r="4" spans="1:16">
      <c r="A4" s="5">
        <f>'HOJA 3. FORMULACION'!A4</f>
        <v>46061</v>
      </c>
      <c r="B4" t="str">
        <f>'HOJA 3. FORMULACION'!C4</f>
        <v>CMP-001-2026</v>
      </c>
      <c r="C4">
        <f>'HOJA 3. FORMULACION'!I4</f>
        <v>30</v>
      </c>
      <c r="D4">
        <f>IF(B4="","",
'HOJA 3. FORMULACION'!D4*'HOJA 2. INSUMOS'!$C$2/100+
'HOJA 3. FORMULACION'!E4*'HOJA 2. INSUMOS'!$C$5/100+
'HOJA 3. FORMULACION'!F4*'HOJA 2. INSUMOS'!$C$3/100+
'HOJA 3. FORMULACION'!G4*'HOJA 2. INSUMOS'!$C$4/100)</f>
        <v>8.75</v>
      </c>
      <c r="E4">
        <f t="shared" si="0"/>
        <v>21.25</v>
      </c>
      <c r="F4">
        <f>IF(B4="","",
'HOJA 3. FORMULACION'!D4*(1-'HOJA 2. INSUMOS'!$C$2/100)*'HOJA 2. INSUMOS'!$D$2/100+
'HOJA 3. FORMULACION'!E4*(1-'HOJA 2. INSUMOS'!$C$5/100)*'HOJA 2. INSUMOS'!$D$5/100+
'HOJA 3. FORMULACION'!F4*(1-'HOJA 2. INSUMOS'!$C$3/100)*'HOJA 2. INSUMOS'!$D$3/100+
'HOJA 3. FORMULACION'!G4*(1-'HOJA 2. INSUMOS'!$C$4/100)*'HOJA 2. INSUMOS'!$D$4/100)</f>
        <v>9.2767499999999998</v>
      </c>
      <c r="G4">
        <f>IF(B4="","",
'HOJA 3. FORMULACION'!D4*(1-'HOJA 2. INSUMOS'!$C$2/100)*'HOJA 2. INSUMOS'!$E$2/100+
'HOJA 3. FORMULACION'!E4*(1-'HOJA 2. INSUMOS'!$C$5/100)*'HOJA 2. INSUMOS'!$E$5/100+
'HOJA 3. FORMULACION'!F4*(1-'HOJA 2. INSUMOS'!$C$3/100)*'HOJA 2. INSUMOS'!$E$3/100+
'HOJA 3. FORMULACION'!G4*(1-'HOJA 2. INSUMOS'!$C$4/100)*'HOJA 2. INSUMOS'!$E$4/100)</f>
        <v>0.32254999999999989</v>
      </c>
      <c r="H4">
        <f>IF(B4="","",SUMIFS($C$3:C4,$B$3:B4,B4))</f>
        <v>54</v>
      </c>
      <c r="I4">
        <f>IF(B4="","",SUMIFS($D$3:D4,$B$3:B4,B4))</f>
        <v>16.55</v>
      </c>
      <c r="J4">
        <f>IF(B4="","",SUMIFS($E$3:E4,$B$3:B4,B4))</f>
        <v>37.450000000000003</v>
      </c>
      <c r="K4">
        <f>IF(B4="","",SUMIFS($F$3:F4,$B$3:B4,B4))</f>
        <v>16.57095</v>
      </c>
      <c r="L4">
        <f>IF(B4="","",SUMIFS($G$3:G4,$B$3:B4,B4))</f>
        <v>0.5375899999999999</v>
      </c>
      <c r="M4">
        <f t="shared" si="1"/>
        <v>30.648148148148152</v>
      </c>
      <c r="N4">
        <f t="shared" si="2"/>
        <v>44.248197596795727</v>
      </c>
      <c r="O4">
        <f t="shared" si="3"/>
        <v>1.4354873164218955</v>
      </c>
      <c r="P4">
        <f t="shared" si="4"/>
        <v>30.824513104782461</v>
      </c>
    </row>
    <row r="5" spans="1:16">
      <c r="A5" s="5">
        <f>'HOJA 3. FORMULACION'!A5</f>
        <v>46062</v>
      </c>
      <c r="B5" t="str">
        <f>'HOJA 3. FORMULACION'!C5</f>
        <v>CMP-002-2026</v>
      </c>
      <c r="C5">
        <f>'HOJA 3. FORMULACION'!I5</f>
        <v>30</v>
      </c>
      <c r="D5">
        <f>IF(B5="","",
'HOJA 3. FORMULACION'!D5*'HOJA 2. INSUMOS'!$C$2/100+
'HOJA 3. FORMULACION'!E5*'HOJA 2. INSUMOS'!$C$5/100+
'HOJA 3. FORMULACION'!F5*'HOJA 2. INSUMOS'!$C$3/100+
'HOJA 3. FORMULACION'!G5*'HOJA 2. INSUMOS'!$C$4/100)</f>
        <v>8.8000000000000007</v>
      </c>
      <c r="E5">
        <f t="shared" si="0"/>
        <v>21.2</v>
      </c>
      <c r="F5">
        <f>IF(B5="","",
'HOJA 3. FORMULACION'!D5*(1-'HOJA 2. INSUMOS'!$C$2/100)*'HOJA 2. INSUMOS'!$D$2/100+
'HOJA 3. FORMULACION'!E5*(1-'HOJA 2. INSUMOS'!$C$5/100)*'HOJA 2. INSUMOS'!$D$5/100+
'HOJA 3. FORMULACION'!F5*(1-'HOJA 2. INSUMOS'!$C$3/100)*'HOJA 2. INSUMOS'!$D$3/100+
'HOJA 3. FORMULACION'!G5*(1-'HOJA 2. INSUMOS'!$C$4/100)*'HOJA 2. INSUMOS'!$D$4/100)</f>
        <v>9.2544000000000004</v>
      </c>
      <c r="G5">
        <f>IF(B5="","",
'HOJA 3. FORMULACION'!D5*(1-'HOJA 2. INSUMOS'!$C$2/100)*'HOJA 2. INSUMOS'!$E$2/100+
'HOJA 3. FORMULACION'!E5*(1-'HOJA 2. INSUMOS'!$C$5/100)*'HOJA 2. INSUMOS'!$E$5/100+
'HOJA 3. FORMULACION'!F5*(1-'HOJA 2. INSUMOS'!$C$3/100)*'HOJA 2. INSUMOS'!$E$3/100+
'HOJA 3. FORMULACION'!G5*(1-'HOJA 2. INSUMOS'!$C$4/100)*'HOJA 2. INSUMOS'!$E$4/100)</f>
        <v>0.41698000000000002</v>
      </c>
      <c r="H5">
        <f>IF(B5="","",SUMIFS($C$3:C5,$B$3:B5,B5))</f>
        <v>30</v>
      </c>
      <c r="I5">
        <f>IF(B5="","",SUMIFS($D$3:D5,$B$3:B5,B5))</f>
        <v>8.8000000000000007</v>
      </c>
      <c r="J5">
        <f>IF(B5="","",SUMIFS($E$3:E5,$B$3:B5,B5))</f>
        <v>21.2</v>
      </c>
      <c r="K5">
        <f>IF(B5="","",SUMIFS($F$3:F5,$B$3:B5,B5))</f>
        <v>9.2544000000000004</v>
      </c>
      <c r="L5">
        <f>IF(B5="","",SUMIFS($G$3:G5,$B$3:B5,B5))</f>
        <v>0.41698000000000002</v>
      </c>
      <c r="M5">
        <f t="shared" si="1"/>
        <v>29.333333333333332</v>
      </c>
      <c r="N5">
        <f t="shared" si="2"/>
        <v>43.652830188679246</v>
      </c>
      <c r="O5">
        <f t="shared" si="3"/>
        <v>1.9668867924528304</v>
      </c>
      <c r="P5">
        <f t="shared" si="4"/>
        <v>22.19387020960238</v>
      </c>
    </row>
    <row r="6" spans="1:16">
      <c r="A6" s="5">
        <f>'HOJA 3. FORMULACION'!A6</f>
        <v>46063</v>
      </c>
      <c r="B6" t="str">
        <f>'HOJA 3. FORMULACION'!C6</f>
        <v>CMP-002-2026</v>
      </c>
      <c r="C6">
        <f>'HOJA 3. FORMULACION'!I6</f>
        <v>5</v>
      </c>
      <c r="D6">
        <f>IF(B6="","",
'HOJA 3. FORMULACION'!D6*'HOJA 2. INSUMOS'!$C$2/100+
'HOJA 3. FORMULACION'!E6*'HOJA 2. INSUMOS'!$C$5/100+
'HOJA 3. FORMULACION'!F6*'HOJA 2. INSUMOS'!$C$3/100+
'HOJA 3. FORMULACION'!G6*'HOJA 2. INSUMOS'!$C$4/100)</f>
        <v>0</v>
      </c>
      <c r="E6">
        <f t="shared" si="0"/>
        <v>5</v>
      </c>
      <c r="F6">
        <f>IF(B6="","",
'HOJA 3. FORMULACION'!D6*(1-'HOJA 2. INSUMOS'!$C$2/100)*'HOJA 2. INSUMOS'!$D$2/100+
'HOJA 3. FORMULACION'!E6*(1-'HOJA 2. INSUMOS'!$C$5/100)*'HOJA 2. INSUMOS'!$D$5/100+
'HOJA 3. FORMULACION'!F6*(1-'HOJA 2. INSUMOS'!$C$3/100)*'HOJA 2. INSUMOS'!$D$3/100+
'HOJA 3. FORMULACION'!G6*(1-'HOJA 2. INSUMOS'!$C$4/100)*'HOJA 2. INSUMOS'!$D$4/100)</f>
        <v>2.25</v>
      </c>
      <c r="G6">
        <f>IF(B6="","",
'HOJA 3. FORMULACION'!D6*(1-'HOJA 2. INSUMOS'!$C$2/100)*'HOJA 2. INSUMOS'!$E$2/100+
'HOJA 3. FORMULACION'!E6*(1-'HOJA 2. INSUMOS'!$C$5/100)*'HOJA 2. INSUMOS'!$E$5/100+
'HOJA 3. FORMULACION'!F6*(1-'HOJA 2. INSUMOS'!$C$3/100)*'HOJA 2. INSUMOS'!$E$3/100+
'HOJA 3. FORMULACION'!G6*(1-'HOJA 2. INSUMOS'!$C$4/100)*'HOJA 2. INSUMOS'!$E$4/100)</f>
        <v>5.5000000000000005E-3</v>
      </c>
      <c r="H6">
        <f>IF(B6="","",SUMIFS($C$3:C6,$B$3:B6,B6))</f>
        <v>35</v>
      </c>
      <c r="I6">
        <f>IF(B6="","",SUMIFS($D$3:D6,$B$3:B6,B6))</f>
        <v>8.8000000000000007</v>
      </c>
      <c r="J6">
        <f>IF(B6="","",SUMIFS($E$3:E6,$B$3:B6,B6))</f>
        <v>26.2</v>
      </c>
      <c r="K6">
        <f>IF(B6="","",SUMIFS($F$3:F6,$B$3:B6,B6))</f>
        <v>11.5044</v>
      </c>
      <c r="L6">
        <f>IF(B6="","",SUMIFS($G$3:G6,$B$3:B6,B6))</f>
        <v>0.42248000000000002</v>
      </c>
      <c r="M6">
        <f t="shared" si="1"/>
        <v>25.142857142857146</v>
      </c>
      <c r="N6">
        <f t="shared" si="2"/>
        <v>43.90992366412214</v>
      </c>
      <c r="O6">
        <f t="shared" si="3"/>
        <v>1.6125190839694659</v>
      </c>
      <c r="P6">
        <f t="shared" si="4"/>
        <v>27.230638136716532</v>
      </c>
    </row>
    <row r="7" spans="1:16">
      <c r="A7" s="5">
        <f>'HOJA 3. FORMULACION'!A7</f>
        <v>46032</v>
      </c>
      <c r="B7" t="str">
        <f>'HOJA 3. FORMULACION'!C7</f>
        <v>CMP-001-2026</v>
      </c>
      <c r="C7">
        <f>'HOJA 3. FORMULACION'!I7</f>
        <v>20</v>
      </c>
      <c r="D7">
        <f>IF(B7="","",
'HOJA 3. FORMULACION'!D7*'HOJA 2. INSUMOS'!$C$2/100+
'HOJA 3. FORMULACION'!E7*'HOJA 2. INSUMOS'!$C$5/100+
'HOJA 3. FORMULACION'!F7*'HOJA 2. INSUMOS'!$C$3/100+
'HOJA 3. FORMULACION'!G7*'HOJA 2. INSUMOS'!$C$4/100)</f>
        <v>10.799999999999999</v>
      </c>
      <c r="E7">
        <f t="shared" si="0"/>
        <v>9.2000000000000011</v>
      </c>
      <c r="F7">
        <f>IF(B7="","",
'HOJA 3. FORMULACION'!D7*(1-'HOJA 2. INSUMOS'!$C$2/100)*'HOJA 2. INSUMOS'!$D$2/100+
'HOJA 3. FORMULACION'!E7*(1-'HOJA 2. INSUMOS'!$C$5/100)*'HOJA 2. INSUMOS'!$D$5/100+
'HOJA 3. FORMULACION'!F7*(1-'HOJA 2. INSUMOS'!$C$3/100)*'HOJA 2. INSUMOS'!$D$3/100+
'HOJA 3. FORMULACION'!G7*(1-'HOJA 2. INSUMOS'!$C$4/100)*'HOJA 2. INSUMOS'!$D$4/100)</f>
        <v>3.9779999999999998</v>
      </c>
      <c r="G7">
        <f>IF(B7="","",
'HOJA 3. FORMULACION'!D7*(1-'HOJA 2. INSUMOS'!$C$2/100)*'HOJA 2. INSUMOS'!$E$2/100+
'HOJA 3. FORMULACION'!E7*(1-'HOJA 2. INSUMOS'!$C$5/100)*'HOJA 2. INSUMOS'!$E$5/100+
'HOJA 3. FORMULACION'!F7*(1-'HOJA 2. INSUMOS'!$C$3/100)*'HOJA 2. INSUMOS'!$E$3/100+
'HOJA 3. FORMULACION'!G7*(1-'HOJA 2. INSUMOS'!$C$4/100)*'HOJA 2. INSUMOS'!$E$4/100)</f>
        <v>0.14529999999999998</v>
      </c>
      <c r="H7">
        <f>IF(B7="","",SUMIFS($C$3:C7,$B$3:B7,B7))</f>
        <v>74</v>
      </c>
      <c r="I7">
        <f>IF(B7="","",SUMIFS($D$3:D7,$B$3:B7,B7))</f>
        <v>27.35</v>
      </c>
      <c r="J7">
        <f>IF(B7="","",SUMIFS($E$3:E7,$B$3:B7,B7))</f>
        <v>46.650000000000006</v>
      </c>
      <c r="K7">
        <f>IF(B7="","",SUMIFS($F$3:F7,$B$3:B7,B7))</f>
        <v>20.548949999999998</v>
      </c>
      <c r="L7">
        <f>IF(B7="","",SUMIFS($G$3:G7,$B$3:B7,B7))</f>
        <v>0.68288999999999989</v>
      </c>
      <c r="M7">
        <f t="shared" si="1"/>
        <v>36.95945945945946</v>
      </c>
      <c r="N7">
        <f t="shared" si="2"/>
        <v>44.049196141479094</v>
      </c>
      <c r="O7">
        <f t="shared" si="3"/>
        <v>1.4638585209003212</v>
      </c>
      <c r="P7">
        <f t="shared" si="4"/>
        <v>30.091156701664985</v>
      </c>
    </row>
    <row r="8" spans="1:16">
      <c r="A8" s="5">
        <f>'HOJA 3. FORMULACION'!A8</f>
        <v>0</v>
      </c>
      <c r="B8">
        <f>'HOJA 3. FORMULACION'!C8</f>
        <v>0</v>
      </c>
      <c r="C8">
        <f>'HOJA 3. FORMULACION'!I8</f>
        <v>0</v>
      </c>
      <c r="D8">
        <f>IF(B8="","",
'HOJA 3. FORMULACION'!D8*'HOJA 2. INSUMOS'!$C$2/100+
'HOJA 3. FORMULACION'!E8*'HOJA 2. INSUMOS'!$C$5/100+
'HOJA 3. FORMULACION'!F8*'HOJA 2. INSUMOS'!$C$3/100+
'HOJA 3. FORMULACION'!G8*'HOJA 2. INSUMOS'!$C$4/100)</f>
        <v>0</v>
      </c>
      <c r="E8">
        <f t="shared" si="0"/>
        <v>0</v>
      </c>
      <c r="F8">
        <f>IF(B8="","",
'HOJA 3. FORMULACION'!D8*(1-'HOJA 2. INSUMOS'!$C$2/100)*'HOJA 2. INSUMOS'!$D$2/100+
'HOJA 3. FORMULACION'!E8*(1-'HOJA 2. INSUMOS'!$C$5/100)*'HOJA 2. INSUMOS'!$D$5/100+
'HOJA 3. FORMULACION'!F8*(1-'HOJA 2. INSUMOS'!$C$3/100)*'HOJA 2. INSUMOS'!$D$3/100+
'HOJA 3. FORMULACION'!G8*(1-'HOJA 2. INSUMOS'!$C$4/100)*'HOJA 2. INSUMOS'!$D$4/100)</f>
        <v>0</v>
      </c>
      <c r="G8">
        <f>IF(B8="","",
'HOJA 3. FORMULACION'!D8*(1-'HOJA 2. INSUMOS'!$C$2/100)*'HOJA 2. INSUMOS'!$E$2/100+
'HOJA 3. FORMULACION'!E8*(1-'HOJA 2. INSUMOS'!$C$5/100)*'HOJA 2. INSUMOS'!$E$5/100+
'HOJA 3. FORMULACION'!F8*(1-'HOJA 2. INSUMOS'!$C$3/100)*'HOJA 2. INSUMOS'!$E$3/100+
'HOJA 3. FORMULACION'!G8*(1-'HOJA 2. INSUMOS'!$C$4/100)*'HOJA 2. INSUMOS'!$E$4/100)</f>
        <v>0</v>
      </c>
      <c r="H8">
        <f>IF(B8="","",SUMIFS($C$3:C8,$B$3:B8,B8))</f>
        <v>0</v>
      </c>
      <c r="I8">
        <f>IF(B8="","",SUMIFS($D$3:D8,$B$3:B8,B8))</f>
        <v>0</v>
      </c>
      <c r="J8">
        <f>IF(B8="","",SUMIFS($E$3:E8,$B$3:B8,B8))</f>
        <v>0</v>
      </c>
      <c r="K8">
        <f>IF(B8="","",SUMIFS($F$3:F8,$B$3:B8,B8))</f>
        <v>0</v>
      </c>
      <c r="L8">
        <f>IF(B8="","",SUMIFS($G$3:G8,$B$3:B8,B8))</f>
        <v>0</v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</row>
  </sheetData>
  <mergeCells count="4">
    <mergeCell ref="C1:G1"/>
    <mergeCell ref="H1:L1"/>
    <mergeCell ref="M1:P1"/>
    <mergeCell ref="A1:B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52189-2CF0-43C9-BF4D-ADDC1083F29A}">
  <dimension ref="A1:T5"/>
  <sheetViews>
    <sheetView topLeftCell="K1" zoomScale="90" zoomScaleNormal="90" workbookViewId="0">
      <selection activeCell="O5" sqref="O5"/>
    </sheetView>
  </sheetViews>
  <sheetFormatPr defaultRowHeight="14.5"/>
  <cols>
    <col min="1" max="1" width="25.1796875" customWidth="1"/>
    <col min="2" max="2" width="23" bestFit="1" customWidth="1"/>
    <col min="3" max="4" width="23" customWidth="1"/>
    <col min="5" max="5" width="18.1796875" bestFit="1" customWidth="1"/>
    <col min="6" max="8" width="13.453125" customWidth="1"/>
    <col min="9" max="9" width="14.453125" customWidth="1"/>
    <col min="12" max="12" width="14.1796875" bestFit="1" customWidth="1"/>
    <col min="13" max="13" width="14.81640625" customWidth="1"/>
    <col min="14" max="14" width="17.08984375" customWidth="1"/>
    <col min="15" max="15" width="16.1796875" bestFit="1" customWidth="1"/>
    <col min="16" max="17" width="16.1796875" customWidth="1"/>
    <col min="18" max="18" width="22.26953125" bestFit="1" customWidth="1"/>
    <col min="19" max="19" width="25.7265625" bestFit="1" customWidth="1"/>
    <col min="20" max="20" width="59.36328125" bestFit="1" customWidth="1"/>
  </cols>
  <sheetData>
    <row r="1" spans="1:20" ht="26" customHeight="1">
      <c r="A1" s="6" t="s">
        <v>45</v>
      </c>
      <c r="B1" s="7" t="s">
        <v>29</v>
      </c>
      <c r="C1" s="7" t="s">
        <v>49</v>
      </c>
      <c r="D1" s="7" t="s">
        <v>50</v>
      </c>
      <c r="E1" s="6" t="s">
        <v>30</v>
      </c>
      <c r="F1" s="6" t="s">
        <v>19</v>
      </c>
      <c r="G1" s="6" t="s">
        <v>20</v>
      </c>
      <c r="H1" s="6" t="s">
        <v>21</v>
      </c>
      <c r="I1" s="44" t="s">
        <v>22</v>
      </c>
      <c r="J1" s="6" t="s">
        <v>23</v>
      </c>
      <c r="K1" s="6" t="s">
        <v>24</v>
      </c>
      <c r="L1" s="6" t="s">
        <v>25</v>
      </c>
      <c r="M1" s="44" t="s">
        <v>26</v>
      </c>
      <c r="N1" s="6" t="s">
        <v>3</v>
      </c>
      <c r="O1" s="6" t="s">
        <v>27</v>
      </c>
      <c r="P1" s="45" t="s">
        <v>135</v>
      </c>
      <c r="Q1" s="45" t="s">
        <v>136</v>
      </c>
      <c r="R1" s="45" t="s">
        <v>137</v>
      </c>
      <c r="S1" s="45" t="s">
        <v>138</v>
      </c>
      <c r="T1" s="34" t="s">
        <v>175</v>
      </c>
    </row>
    <row r="2" spans="1:20" ht="20" customHeight="1">
      <c r="A2" s="9" t="s">
        <v>28</v>
      </c>
      <c r="B2" s="11">
        <v>46030</v>
      </c>
      <c r="C2" s="1" t="s">
        <v>32</v>
      </c>
      <c r="D2" s="11" t="s">
        <v>69</v>
      </c>
      <c r="E2" s="5" t="s">
        <v>31</v>
      </c>
      <c r="F2" s="9">
        <v>39</v>
      </c>
      <c r="G2" s="9">
        <v>36</v>
      </c>
      <c r="H2" s="9">
        <v>41</v>
      </c>
      <c r="I2" s="10">
        <f>AVERAGE(Table4[[#This Row],[Temp 01 (°C)]:[Temp 03 (°C)]])</f>
        <v>38.666666666666664</v>
      </c>
      <c r="J2" s="12">
        <v>6.6</v>
      </c>
      <c r="K2" s="13">
        <v>2</v>
      </c>
      <c r="L2" s="13">
        <v>5.21</v>
      </c>
      <c r="M2" s="10">
        <f>AVERAGE(J2:L2)</f>
        <v>4.6033333333333326</v>
      </c>
      <c r="N2" s="9">
        <v>50</v>
      </c>
      <c r="O2" s="1">
        <v>1</v>
      </c>
      <c r="P2" s="1" t="str">
        <f>IF(I2&lt;_xlfn.XLOOKUP(D2,'HOJA 1. CONFIGURACION'!$C$2:$F$2,'HOJA 1. CONFIGURACION'!$C$5:$F$5),"BAJA",
IF(I2&gt;_xlfn.XLOOKUP(D2,'HOJA 1. CONFIGURACION'!$C$2:$F$2,'HOJA 1. CONFIGURACION'!$C$6:$F$6),"ALTA",
"CORRECTA"))</f>
        <v>CORRECTA</v>
      </c>
      <c r="Q2" s="1" t="str">
        <f>IF(M2&lt;_xlfn.XLOOKUP(D2,'HOJA 1. CONFIGURACION'!$C$2:$F$2,'HOJA 1. CONFIGURACION'!$C$7:$F$7),"BAJO",
IF(M2&gt;_xlfn.XLOOKUP(D2,'HOJA 1. CONFIGURACION'!$C$2:$F$2,'HOJA 1. CONFIGURACION'!$C$8:$F$8),"ALTO",
"CORRECTO"))</f>
        <v>BAJO</v>
      </c>
      <c r="R2" s="1" t="str">
        <f>IF(H2&lt;_xlfn.XLOOKUP(D2,'HOJA 1. CONFIGURACION'!$C$2:$F$2,'HOJA 1. CONFIGURACION'!$C$3:$F$3),"BAJA",
IF(H2&gt;_xlfn.XLOOKUP(D2,'HOJA 1. CONFIGURACION'!$C$2:$F$2,'HOJA 1. CONFIGURACION'!$C$4:$F$4),"ALTA",
"CORRECTA"))</f>
        <v>CORRECTA</v>
      </c>
      <c r="S2" s="1" t="str">
        <f>IF(AND(O2="CORRECTA",P2="CORRECTA",Q2="CORRECTO"),
"OPERACIÓN NORMAL",
"REQUIERE AJUSTE OPERATIVO")</f>
        <v>REQUIERE AJUSTE OPERATIVO</v>
      </c>
      <c r="T2" s="4" t="str">
        <f>_xlfn.TEXTJOIN(" | ",TRUE,
IF(P2="","",IF(P2="CORRECTA","",_xlfn.XLOOKUP("HUMEDAD|"&amp;UPPER(TRIM(CLEAN(P2))),Table8[[CLAVE ]],Table8[Recomendación],"REGLA NO ENCONTRADA"))),
IF(Q2="","",IF(Q2="CORRECTO","",_xlfn.XLOOKUP("PH|"&amp;UPPER(TRIM(CLEAN(Q2))),Table8[[CLAVE ]],Table8[Recomendación],"REGLA NO ENCONTRADA"))),
IF(R2="","",IF(R2="CORRECTA","",_xlfn.XLOOKUP("TEMPERATURA|"&amp;UPPER(TRIM(CLEAN(R2))),Table8[[CLAVE ]],Table8[Recomendación],"REGLA NO ENCONTRADA")))
)</f>
        <v>Revisar composición de la mezcla y continuar el seguimiento del pH.</v>
      </c>
    </row>
    <row r="5" spans="1:20">
      <c r="E5" t="s">
        <v>18</v>
      </c>
      <c r="M5" s="35"/>
    </row>
  </sheetData>
  <phoneticPr fontId="15" type="noConversion"/>
  <dataValidations count="1">
    <dataValidation type="list" allowBlank="1" showInputMessage="1" showErrorMessage="1" sqref="D2" xr:uid="{4DB126DE-8988-4D9E-BE9E-01530F25DBF2}">
      <formula1>"Mesófila I, Termófila, Mesófila II, Maduración"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D903-F5E2-4B10-BBD1-5934259DE560}">
  <dimension ref="A1:H12"/>
  <sheetViews>
    <sheetView workbookViewId="0">
      <selection activeCell="G14" sqref="G14"/>
    </sheetView>
  </sheetViews>
  <sheetFormatPr defaultRowHeight="14.5"/>
  <cols>
    <col min="1" max="1" width="10.81640625" bestFit="1" customWidth="1"/>
    <col min="2" max="2" width="14.90625" bestFit="1" customWidth="1"/>
    <col min="3" max="3" width="14.90625" customWidth="1"/>
    <col min="4" max="4" width="14.90625" bestFit="1" customWidth="1"/>
    <col min="5" max="5" width="15.90625" bestFit="1" customWidth="1"/>
    <col min="6" max="6" width="14.54296875" bestFit="1" customWidth="1"/>
    <col min="7" max="7" width="24.54296875" bestFit="1" customWidth="1"/>
    <col min="8" max="8" width="23" bestFit="1" customWidth="1"/>
  </cols>
  <sheetData>
    <row r="1" spans="1:8" ht="43.5">
      <c r="A1" s="1" t="s">
        <v>33</v>
      </c>
      <c r="B1" s="7" t="s">
        <v>49</v>
      </c>
      <c r="C1" s="56" t="s">
        <v>185</v>
      </c>
      <c r="D1" s="4" t="s">
        <v>86</v>
      </c>
      <c r="E1" s="4" t="s">
        <v>87</v>
      </c>
      <c r="F1" s="4" t="s">
        <v>88</v>
      </c>
      <c r="G1" s="1" t="s">
        <v>85</v>
      </c>
      <c r="H1" s="1" t="s">
        <v>187</v>
      </c>
    </row>
    <row r="2" spans="1:8">
      <c r="A2" s="11">
        <v>46030</v>
      </c>
      <c r="B2" t="s">
        <v>32</v>
      </c>
      <c r="C2">
        <v>1232454</v>
      </c>
      <c r="D2" s="1">
        <v>10</v>
      </c>
      <c r="E2" s="1">
        <v>4</v>
      </c>
      <c r="F2" s="1">
        <v>6</v>
      </c>
      <c r="G2">
        <f>IF(D2="","",D2-E2-F2)</f>
        <v>0</v>
      </c>
      <c r="H2" t="str">
        <f>IF(G2&lt;=0,"SIN STOCK","DISPONIBLE")</f>
        <v>SIN STOCK</v>
      </c>
    </row>
    <row r="3" spans="1:8">
      <c r="A3" s="11" t="s">
        <v>186</v>
      </c>
      <c r="D3" s="1">
        <v>15</v>
      </c>
      <c r="E3" s="1">
        <v>2</v>
      </c>
      <c r="F3" s="1">
        <v>3</v>
      </c>
      <c r="G3">
        <f t="shared" ref="G3:G12" si="0">IF(COUNTA(D3:F3)=0,"",G2+SUM(D3)-SUM(E3:F3))</f>
        <v>10</v>
      </c>
      <c r="H3" t="str">
        <f t="shared" ref="H3:H4" si="1">IF(G3&lt;=0,"SIN STOCK","DISPONIBLE")</f>
        <v>DISPONIBLE</v>
      </c>
    </row>
    <row r="4" spans="1:8">
      <c r="A4" s="11"/>
      <c r="D4" s="1"/>
      <c r="E4" s="1">
        <v>2</v>
      </c>
      <c r="F4" s="1">
        <v>3</v>
      </c>
      <c r="G4">
        <f t="shared" si="0"/>
        <v>5</v>
      </c>
      <c r="H4" t="str">
        <f t="shared" si="1"/>
        <v>DISPONIBLE</v>
      </c>
    </row>
    <row r="5" spans="1:8">
      <c r="A5" s="11"/>
      <c r="D5" s="1">
        <v>4</v>
      </c>
      <c r="E5" s="1"/>
      <c r="F5" s="1"/>
      <c r="G5">
        <f t="shared" si="0"/>
        <v>9</v>
      </c>
      <c r="H5" t="str">
        <f>IF(G5&lt;=0,"SIN STOCK","DISPONIBLE")</f>
        <v>DISPONIBLE</v>
      </c>
    </row>
    <row r="6" spans="1:8">
      <c r="A6" s="11"/>
      <c r="D6" s="1"/>
      <c r="E6" s="1"/>
      <c r="F6" s="1"/>
      <c r="G6" t="str">
        <f t="shared" si="0"/>
        <v/>
      </c>
      <c r="H6" t="str">
        <f t="shared" ref="H6:H12" si="2">IF(G6&lt;=0,"SIN STOCK","DISPONIBLE")</f>
        <v>DISPONIBLE</v>
      </c>
    </row>
    <row r="7" spans="1:8">
      <c r="A7" s="11"/>
      <c r="D7" s="1"/>
      <c r="E7" s="1"/>
      <c r="F7" s="1"/>
      <c r="G7" t="str">
        <f t="shared" si="0"/>
        <v/>
      </c>
      <c r="H7" t="str">
        <f t="shared" si="2"/>
        <v>DISPONIBLE</v>
      </c>
    </row>
    <row r="8" spans="1:8">
      <c r="A8" s="11"/>
      <c r="D8" s="1"/>
      <c r="E8" s="1"/>
      <c r="F8" s="1"/>
      <c r="G8" t="str">
        <f t="shared" si="0"/>
        <v/>
      </c>
      <c r="H8" t="str">
        <f t="shared" si="2"/>
        <v>DISPONIBLE</v>
      </c>
    </row>
    <row r="9" spans="1:8">
      <c r="A9" s="11"/>
      <c r="D9" s="1"/>
      <c r="E9" s="1"/>
      <c r="F9" s="1"/>
      <c r="G9" t="str">
        <f t="shared" si="0"/>
        <v/>
      </c>
      <c r="H9" t="str">
        <f t="shared" si="2"/>
        <v>DISPONIBLE</v>
      </c>
    </row>
    <row r="10" spans="1:8">
      <c r="A10" s="11"/>
      <c r="D10" s="1"/>
      <c r="E10" s="1"/>
      <c r="F10" s="1"/>
      <c r="G10" t="str">
        <f t="shared" si="0"/>
        <v/>
      </c>
      <c r="H10" t="str">
        <f t="shared" si="2"/>
        <v>DISPONIBLE</v>
      </c>
    </row>
    <row r="11" spans="1:8">
      <c r="A11" s="11"/>
      <c r="D11" s="1"/>
      <c r="E11" s="1"/>
      <c r="F11" s="1"/>
      <c r="G11" t="str">
        <f t="shared" si="0"/>
        <v/>
      </c>
      <c r="H11" t="str">
        <f t="shared" si="2"/>
        <v>DISPONIBLE</v>
      </c>
    </row>
    <row r="12" spans="1:8">
      <c r="A12" s="11"/>
      <c r="D12" s="1"/>
      <c r="E12" s="1"/>
      <c r="F12" s="1"/>
      <c r="G12" t="str">
        <f t="shared" si="0"/>
        <v/>
      </c>
      <c r="H12" t="str">
        <f t="shared" si="2"/>
        <v>DISPONIBLE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0449-B9FF-4E66-AA8A-176294E5A959}">
  <dimension ref="A1:F2"/>
  <sheetViews>
    <sheetView workbookViewId="0">
      <selection activeCell="A2" sqref="A2"/>
    </sheetView>
  </sheetViews>
  <sheetFormatPr defaultRowHeight="14.5"/>
  <cols>
    <col min="1" max="1" width="22.81640625" customWidth="1"/>
    <col min="2" max="2" width="18.26953125" bestFit="1" customWidth="1"/>
    <col min="3" max="3" width="19.81640625" bestFit="1" customWidth="1"/>
    <col min="4" max="4" width="24.54296875" customWidth="1"/>
    <col min="5" max="5" width="16.36328125" bestFit="1" customWidth="1"/>
    <col min="6" max="6" width="11.81640625" bestFit="1" customWidth="1"/>
  </cols>
  <sheetData>
    <row r="1" spans="1:6" ht="43.5">
      <c r="A1" s="4" t="s">
        <v>89</v>
      </c>
      <c r="B1" s="4" t="s">
        <v>188</v>
      </c>
      <c r="C1" s="4" t="s">
        <v>190</v>
      </c>
      <c r="D1" s="4" t="s">
        <v>189</v>
      </c>
      <c r="E1" s="4" t="s">
        <v>191</v>
      </c>
      <c r="F1" s="4" t="s">
        <v>90</v>
      </c>
    </row>
    <row r="2" spans="1:6">
      <c r="A2">
        <f>SUM('HOJA 3. FORMULACION'!P:P)</f>
        <v>109</v>
      </c>
      <c r="C2">
        <f>SUM('HOJA 5. INVENTARIO (STOCK)'!D:D)</f>
        <v>29</v>
      </c>
      <c r="D2">
        <f>LOOKUP(9.99999999999999E+307,'HOJA 5. INVENTARIO (STOCK)'!G:G)</f>
        <v>9</v>
      </c>
      <c r="E2">
        <f>COUNTA('HOJA 4-SEGUIMIENTO'!A:A)-1</f>
        <v>1</v>
      </c>
      <c r="F2">
        <f>COUNTIF('HOJA 4-SEGUIMIENTO'!S:S,"REQUIERE AJUSTE OPERATIVO")</f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86F3E-EF03-4DBD-B46C-952999543777}">
  <dimension ref="A1:H16"/>
  <sheetViews>
    <sheetView zoomScale="84" zoomScaleNormal="84" workbookViewId="0">
      <selection activeCell="G9" sqref="G9"/>
    </sheetView>
  </sheetViews>
  <sheetFormatPr defaultRowHeight="14.5"/>
  <cols>
    <col min="2" max="2" width="11.7265625" bestFit="1" customWidth="1"/>
    <col min="3" max="3" width="14.81640625" bestFit="1" customWidth="1"/>
    <col min="4" max="4" width="18.81640625" bestFit="1" customWidth="1"/>
    <col min="5" max="5" width="33.1796875" bestFit="1" customWidth="1"/>
    <col min="6" max="6" width="38.6328125" customWidth="1"/>
    <col min="7" max="7" width="63.54296875" bestFit="1" customWidth="1"/>
    <col min="8" max="8" width="37.7265625" bestFit="1" customWidth="1"/>
  </cols>
  <sheetData>
    <row r="1" spans="1:8">
      <c r="A1" t="s">
        <v>91</v>
      </c>
      <c r="B1" t="s">
        <v>92</v>
      </c>
      <c r="C1" t="s">
        <v>35</v>
      </c>
      <c r="D1" t="s">
        <v>174</v>
      </c>
      <c r="E1" t="s">
        <v>34</v>
      </c>
      <c r="F1" t="s">
        <v>172</v>
      </c>
      <c r="G1" t="s">
        <v>113</v>
      </c>
      <c r="H1" t="s">
        <v>180</v>
      </c>
    </row>
    <row r="2" spans="1:8">
      <c r="A2" t="s">
        <v>116</v>
      </c>
      <c r="B2" t="s">
        <v>111</v>
      </c>
      <c r="C2" t="s">
        <v>101</v>
      </c>
      <c r="D2" t="s">
        <v>170</v>
      </c>
      <c r="E2" t="s">
        <v>112</v>
      </c>
      <c r="F2" t="s">
        <v>114</v>
      </c>
      <c r="G2" t="s">
        <v>115</v>
      </c>
      <c r="H2" t="str">
        <f>UPPER(TRIM(CLEAN(Table8[[#This Row],[Parametro]])))&amp;"|"&amp;UPPER(TRIM(CLEAN(Table8[[#This Row],[ESTADO EVALUADO]])))</f>
        <v>HUMEDAD INICIAL|BAJA</v>
      </c>
    </row>
    <row r="3" spans="1:8">
      <c r="A3" t="s">
        <v>117</v>
      </c>
      <c r="B3" t="s">
        <v>111</v>
      </c>
      <c r="C3" t="s">
        <v>101</v>
      </c>
      <c r="D3" t="s">
        <v>171</v>
      </c>
      <c r="E3" t="s">
        <v>118</v>
      </c>
      <c r="F3" t="s">
        <v>114</v>
      </c>
      <c r="G3" t="s">
        <v>119</v>
      </c>
      <c r="H3" t="str">
        <f>UPPER(TRIM(CLEAN(Table8[[#This Row],[Parametro]])))&amp;"|"&amp;UPPER(TRIM(CLEAN(Table8[[#This Row],[ESTADO EVALUADO]])))</f>
        <v>HUMEDAD INICIAL|ALTA</v>
      </c>
    </row>
    <row r="4" spans="1:8">
      <c r="A4" t="s">
        <v>120</v>
      </c>
      <c r="B4" t="s">
        <v>111</v>
      </c>
      <c r="C4" t="s">
        <v>101</v>
      </c>
      <c r="D4" t="s">
        <v>173</v>
      </c>
      <c r="E4" t="s">
        <v>121</v>
      </c>
      <c r="F4" t="s">
        <v>122</v>
      </c>
      <c r="G4" t="s">
        <v>123</v>
      </c>
      <c r="H4" t="str">
        <f>UPPER(TRIM(CLEAN(Table8[[#This Row],[Parametro]])))&amp;"|"&amp;UPPER(TRIM(CLEAN(Table8[[#This Row],[ESTADO EVALUADO]])))</f>
        <v>HUMEDAD INICIAL|CORRECTA</v>
      </c>
    </row>
    <row r="5" spans="1:8">
      <c r="A5" t="s">
        <v>124</v>
      </c>
      <c r="B5" t="s">
        <v>111</v>
      </c>
      <c r="C5" t="s">
        <v>125</v>
      </c>
      <c r="D5" t="s">
        <v>177</v>
      </c>
      <c r="E5" t="s">
        <v>126</v>
      </c>
      <c r="F5" t="s">
        <v>114</v>
      </c>
      <c r="G5" t="s">
        <v>127</v>
      </c>
      <c r="H5" t="str">
        <f>UPPER(TRIM(CLEAN(Table8[[#This Row],[Parametro]])))&amp;"|"&amp;UPPER(TRIM(CLEAN(Table8[[#This Row],[ESTADO EVALUADO]])))</f>
        <v>RELACION C/N|BAJO</v>
      </c>
    </row>
    <row r="6" spans="1:8">
      <c r="A6" t="s">
        <v>128</v>
      </c>
      <c r="B6" t="s">
        <v>111</v>
      </c>
      <c r="C6" t="s">
        <v>125</v>
      </c>
      <c r="D6" t="s">
        <v>179</v>
      </c>
      <c r="E6" t="s">
        <v>129</v>
      </c>
      <c r="F6" t="s">
        <v>114</v>
      </c>
      <c r="G6" t="s">
        <v>130</v>
      </c>
      <c r="H6" t="str">
        <f>UPPER(TRIM(CLEAN(Table8[[#This Row],[Parametro]])))&amp;"|"&amp;UPPER(TRIM(CLEAN(Table8[[#This Row],[ESTADO EVALUADO]])))</f>
        <v>RELACION C/N|ALTO</v>
      </c>
    </row>
    <row r="7" spans="1:8">
      <c r="A7" t="s">
        <v>131</v>
      </c>
      <c r="B7" t="s">
        <v>111</v>
      </c>
      <c r="C7" t="s">
        <v>125</v>
      </c>
      <c r="D7" t="s">
        <v>178</v>
      </c>
      <c r="E7" t="s">
        <v>132</v>
      </c>
      <c r="F7" t="s">
        <v>122</v>
      </c>
      <c r="G7" t="s">
        <v>133</v>
      </c>
      <c r="H7" t="str">
        <f>UPPER(TRIM(CLEAN(Table8[[#This Row],[Parametro]])))&amp;"|"&amp;UPPER(TRIM(CLEAN(Table8[[#This Row],[ESTADO EVALUADO]])))</f>
        <v>RELACION C/N|CORRECTO</v>
      </c>
    </row>
    <row r="8" spans="1:8">
      <c r="A8" t="s">
        <v>160</v>
      </c>
      <c r="B8" t="s">
        <v>139</v>
      </c>
      <c r="C8" t="s">
        <v>140</v>
      </c>
      <c r="D8" t="s">
        <v>170</v>
      </c>
      <c r="E8" t="s">
        <v>141</v>
      </c>
      <c r="F8" t="s">
        <v>114</v>
      </c>
      <c r="G8" t="s">
        <v>144</v>
      </c>
      <c r="H8" t="str">
        <f>UPPER(TRIM(CLEAN(Table8[[#This Row],[Parametro]])))&amp;"|"&amp;UPPER(TRIM(CLEAN(Table8[[#This Row],[ESTADO EVALUADO]])))</f>
        <v>TEMPERATURA|BAJA</v>
      </c>
    </row>
    <row r="9" spans="1:8">
      <c r="A9" t="s">
        <v>161</v>
      </c>
      <c r="B9" t="s">
        <v>139</v>
      </c>
      <c r="C9" t="s">
        <v>140</v>
      </c>
      <c r="D9" t="s">
        <v>171</v>
      </c>
      <c r="E9" t="s">
        <v>142</v>
      </c>
      <c r="F9" t="s">
        <v>114</v>
      </c>
      <c r="G9" t="s">
        <v>155</v>
      </c>
      <c r="H9" t="str">
        <f>UPPER(TRIM(CLEAN(Table8[[#This Row],[Parametro]])))&amp;"|"&amp;UPPER(TRIM(CLEAN(Table8[[#This Row],[ESTADO EVALUADO]])))</f>
        <v>TEMPERATURA|ALTA</v>
      </c>
    </row>
    <row r="10" spans="1:8">
      <c r="A10" t="s">
        <v>162</v>
      </c>
      <c r="B10" t="s">
        <v>139</v>
      </c>
      <c r="C10" t="s">
        <v>140</v>
      </c>
      <c r="D10" t="s">
        <v>173</v>
      </c>
      <c r="E10" t="s">
        <v>143</v>
      </c>
      <c r="F10" t="s">
        <v>122</v>
      </c>
      <c r="G10" t="s">
        <v>159</v>
      </c>
      <c r="H10" t="str">
        <f>UPPER(TRIM(CLEAN(Table8[[#This Row],[Parametro]])))&amp;"|"&amp;UPPER(TRIM(CLEAN(Table8[[#This Row],[ESTADO EVALUADO]])))</f>
        <v>TEMPERATURA|CORRECTA</v>
      </c>
    </row>
    <row r="11" spans="1:8">
      <c r="A11" t="s">
        <v>163</v>
      </c>
      <c r="B11" t="s">
        <v>139</v>
      </c>
      <c r="C11" t="s">
        <v>145</v>
      </c>
      <c r="D11" t="s">
        <v>177</v>
      </c>
      <c r="E11" t="s">
        <v>146</v>
      </c>
      <c r="F11" t="s">
        <v>114</v>
      </c>
      <c r="G11" t="s">
        <v>156</v>
      </c>
      <c r="H11" t="str">
        <f>UPPER(TRIM(CLEAN(Table8[[#This Row],[Parametro]])))&amp;"|"&amp;UPPER(TRIM(CLEAN(Table8[[#This Row],[ESTADO EVALUADO]])))</f>
        <v>PH|BAJO</v>
      </c>
    </row>
    <row r="12" spans="1:8">
      <c r="A12" t="s">
        <v>164</v>
      </c>
      <c r="B12" t="s">
        <v>139</v>
      </c>
      <c r="C12" t="s">
        <v>145</v>
      </c>
      <c r="D12" t="s">
        <v>179</v>
      </c>
      <c r="E12" t="s">
        <v>151</v>
      </c>
      <c r="F12" t="s">
        <v>114</v>
      </c>
      <c r="G12" t="s">
        <v>157</v>
      </c>
      <c r="H12" t="str">
        <f>UPPER(TRIM(CLEAN(Table8[[#This Row],[Parametro]])))&amp;"|"&amp;UPPER(TRIM(CLEAN(Table8[[#This Row],[ESTADO EVALUADO]])))</f>
        <v>PH|ALTO</v>
      </c>
    </row>
    <row r="13" spans="1:8">
      <c r="A13" t="s">
        <v>165</v>
      </c>
      <c r="B13" t="s">
        <v>139</v>
      </c>
      <c r="C13" t="s">
        <v>145</v>
      </c>
      <c r="D13" t="s">
        <v>178</v>
      </c>
      <c r="E13" t="s">
        <v>169</v>
      </c>
      <c r="F13" t="s">
        <v>122</v>
      </c>
      <c r="G13" t="s">
        <v>158</v>
      </c>
      <c r="H13" t="str">
        <f>UPPER(TRIM(CLEAN(Table8[[#This Row],[Parametro]])))&amp;"|"&amp;UPPER(TRIM(CLEAN(Table8[[#This Row],[ESTADO EVALUADO]])))</f>
        <v>PH|CORRECTO</v>
      </c>
    </row>
    <row r="14" spans="1:8">
      <c r="A14" t="s">
        <v>166</v>
      </c>
      <c r="B14" t="s">
        <v>139</v>
      </c>
      <c r="C14" t="s">
        <v>147</v>
      </c>
      <c r="D14" t="s">
        <v>170</v>
      </c>
      <c r="E14" t="s">
        <v>149</v>
      </c>
      <c r="F14" t="s">
        <v>114</v>
      </c>
      <c r="G14" t="s">
        <v>153</v>
      </c>
      <c r="H14" t="str">
        <f>UPPER(TRIM(CLEAN(Table8[[#This Row],[Parametro]])))&amp;"|"&amp;UPPER(TRIM(CLEAN(Table8[[#This Row],[ESTADO EVALUADO]])))</f>
        <v>HUMEDAD|BAJA</v>
      </c>
    </row>
    <row r="15" spans="1:8">
      <c r="A15" t="s">
        <v>167</v>
      </c>
      <c r="B15" t="s">
        <v>139</v>
      </c>
      <c r="C15" t="s">
        <v>148</v>
      </c>
      <c r="D15" t="s">
        <v>171</v>
      </c>
      <c r="E15" t="s">
        <v>150</v>
      </c>
      <c r="F15" t="s">
        <v>114</v>
      </c>
      <c r="G15" t="s">
        <v>152</v>
      </c>
      <c r="H15" t="str">
        <f>UPPER(TRIM(CLEAN(Table8[[#This Row],[Parametro]])))&amp;"|"&amp;UPPER(TRIM(CLEAN(Table8[[#This Row],[ESTADO EVALUADO]])))</f>
        <v>HUMEDAD|ALTA</v>
      </c>
    </row>
    <row r="16" spans="1:8">
      <c r="A16" t="s">
        <v>168</v>
      </c>
      <c r="B16" t="s">
        <v>139</v>
      </c>
      <c r="C16" t="s">
        <v>148</v>
      </c>
      <c r="D16" t="s">
        <v>173</v>
      </c>
      <c r="E16" t="s">
        <v>121</v>
      </c>
      <c r="F16" t="s">
        <v>122</v>
      </c>
      <c r="G16" t="s">
        <v>154</v>
      </c>
      <c r="H16" t="str">
        <f>UPPER(TRIM(CLEAN(Table8[[#This Row],[Parametro]])))&amp;"|"&amp;UPPER(TRIM(CLEAN(Table8[[#This Row],[ESTADO EVALUADO]])))</f>
        <v>HUMEDAD|CORRECTA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HOJA 1. CONFIGURACION</vt:lpstr>
      <vt:lpstr>HOJA 2. INSUMOS</vt:lpstr>
      <vt:lpstr>HOJA 3. FORMULACION</vt:lpstr>
      <vt:lpstr>bloque auxiliar</vt:lpstr>
      <vt:lpstr>Calculo progresivo por lote</vt:lpstr>
      <vt:lpstr>HOJA 4-SEGUIMIENTO</vt:lpstr>
      <vt:lpstr>HOJA 5. INVENTARIO (STOCK)</vt:lpstr>
      <vt:lpstr>HOJA 6. INDICADORES</vt:lpstr>
      <vt:lpstr>BASE_CONOCIMIENTOS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Peñaloza, Mishel Flor</dc:creator>
  <cp:lastModifiedBy>Ruiz Peñaloza, Mishel Flor</cp:lastModifiedBy>
  <dcterms:created xsi:type="dcterms:W3CDTF">2026-07-15T13:58:36Z</dcterms:created>
  <dcterms:modified xsi:type="dcterms:W3CDTF">2026-08-05T23:03:05Z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f2a5e4-10d8-4dfe-8082-7352c27520cb_Enabled">
    <vt:lpwstr>true</vt:lpwstr>
  </property>
  <property fmtid="{D5CDD505-2E9C-101B-9397-08002B2CF9AE}" pid="3" name="MSIP_Label_e3f2a5e4-10d8-4dfe-8082-7352c27520cb_SetDate">
    <vt:lpwstr>2026-07-15T13:33:08Z</vt:lpwstr>
  </property>
  <property fmtid="{D5CDD505-2E9C-101B-9397-08002B2CF9AE}" pid="4" name="MSIP_Label_e3f2a5e4-10d8-4dfe-8082-7352c27520cb_Method">
    <vt:lpwstr>Standard</vt:lpwstr>
  </property>
  <property fmtid="{D5CDD505-2E9C-101B-9397-08002B2CF9AE}" pid="5" name="MSIP_Label_e3f2a5e4-10d8-4dfe-8082-7352c27520cb_Name">
    <vt:lpwstr>_Official</vt:lpwstr>
  </property>
  <property fmtid="{D5CDD505-2E9C-101B-9397-08002B2CF9AE}" pid="6" name="MSIP_Label_e3f2a5e4-10d8-4dfe-8082-7352c27520cb_SiteId">
    <vt:lpwstr>2864f69d-77c3-4fbe-bbc0-97502052391a</vt:lpwstr>
  </property>
  <property fmtid="{D5CDD505-2E9C-101B-9397-08002B2CF9AE}" pid="7" name="MSIP_Label_e3f2a5e4-10d8-4dfe-8082-7352c27520cb_ActionId">
    <vt:lpwstr>e3cf42e5-3760-491f-8116-3bf78c332b6c</vt:lpwstr>
  </property>
  <property fmtid="{D5CDD505-2E9C-101B-9397-08002B2CF9AE}" pid="8" name="MSIP_Label_e3f2a5e4-10d8-4dfe-8082-7352c27520cb_ContentBits">
    <vt:lpwstr>0</vt:lpwstr>
  </property>
</Properties>
</file>